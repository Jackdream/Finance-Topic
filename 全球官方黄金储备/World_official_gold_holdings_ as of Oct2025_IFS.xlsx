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5/October/"/>
    </mc:Choice>
  </mc:AlternateContent>
  <xr:revisionPtr revIDLastSave="16" documentId="8_{F929B912-4E32-43A6-98C4-A3922AE02DEE}" xr6:coauthVersionLast="47" xr6:coauthVersionMax="47" xr10:uidLastSave="{F003E9EE-798F-453C-A85D-ADDFEB761A58}"/>
  <bookViews>
    <workbookView xWindow="17910" yWindow="2250" windowWidth="29625" windowHeight="15525" xr2:uid="{5CF6F198-D6E0-4803-9279-93C6BC83FCBC}"/>
  </bookViews>
  <sheets>
    <sheet name="PDF" sheetId="2" r:id="rId1"/>
  </sheets>
  <externalReferences>
    <externalReference r:id="rId2"/>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2" l="1"/>
  <c r="D65" i="2"/>
  <c r="C65" i="2"/>
  <c r="E64" i="2"/>
  <c r="D64" i="2"/>
  <c r="C64" i="2"/>
  <c r="I56" i="2"/>
  <c r="H56" i="2"/>
  <c r="G56" i="2"/>
  <c r="J56" i="2" s="1"/>
  <c r="D56" i="2"/>
  <c r="C56" i="2"/>
  <c r="B56" i="2"/>
  <c r="E56" i="2" s="1"/>
  <c r="J55" i="2"/>
  <c r="I55" i="2"/>
  <c r="H55" i="2"/>
  <c r="G55" i="2"/>
  <c r="E55" i="2"/>
  <c r="D55" i="2"/>
  <c r="C55" i="2"/>
  <c r="B55" i="2"/>
  <c r="I54" i="2"/>
  <c r="H54" i="2"/>
  <c r="G54" i="2"/>
  <c r="J54" i="2" s="1"/>
  <c r="D54" i="2"/>
  <c r="C54" i="2"/>
  <c r="B54" i="2"/>
  <c r="E54" i="2" s="1"/>
  <c r="I53" i="2"/>
  <c r="H53" i="2"/>
  <c r="G53" i="2"/>
  <c r="J53" i="2" s="1"/>
  <c r="E53" i="2"/>
  <c r="D53" i="2"/>
  <c r="C53" i="2"/>
  <c r="B53" i="2"/>
  <c r="J52" i="2"/>
  <c r="I52" i="2"/>
  <c r="H52" i="2"/>
  <c r="G52" i="2"/>
  <c r="D52" i="2"/>
  <c r="C52" i="2"/>
  <c r="B52" i="2"/>
  <c r="E52" i="2" s="1"/>
  <c r="I51" i="2"/>
  <c r="H51" i="2"/>
  <c r="G51" i="2"/>
  <c r="J51" i="2" s="1"/>
  <c r="D51" i="2"/>
  <c r="C51" i="2"/>
  <c r="B51" i="2"/>
  <c r="E51" i="2" s="1"/>
  <c r="J50" i="2"/>
  <c r="I50" i="2"/>
  <c r="H50" i="2"/>
  <c r="G50" i="2"/>
  <c r="E50" i="2"/>
  <c r="D50" i="2"/>
  <c r="C50" i="2"/>
  <c r="B50" i="2"/>
  <c r="I49" i="2"/>
  <c r="H49" i="2"/>
  <c r="G49" i="2"/>
  <c r="J49" i="2" s="1"/>
  <c r="D49" i="2"/>
  <c r="C49" i="2"/>
  <c r="B49" i="2"/>
  <c r="E49" i="2" s="1"/>
  <c r="I48" i="2"/>
  <c r="H48" i="2"/>
  <c r="G48" i="2"/>
  <c r="J48" i="2" s="1"/>
  <c r="E48" i="2"/>
  <c r="D48" i="2"/>
  <c r="C48" i="2"/>
  <c r="B48" i="2"/>
  <c r="J47" i="2"/>
  <c r="I47" i="2"/>
  <c r="H47" i="2"/>
  <c r="G47" i="2"/>
  <c r="D47" i="2"/>
  <c r="C47" i="2"/>
  <c r="B47" i="2"/>
  <c r="E47" i="2" s="1"/>
  <c r="I46" i="2"/>
  <c r="H46" i="2"/>
  <c r="G46" i="2"/>
  <c r="J46" i="2" s="1"/>
  <c r="D46" i="2"/>
  <c r="C46" i="2"/>
  <c r="B46" i="2"/>
  <c r="E46" i="2" s="1"/>
  <c r="J45" i="2"/>
  <c r="I45" i="2"/>
  <c r="H45" i="2"/>
  <c r="G45" i="2"/>
  <c r="E45" i="2"/>
  <c r="D45" i="2"/>
  <c r="C45" i="2"/>
  <c r="B45" i="2"/>
  <c r="I44" i="2"/>
  <c r="H44" i="2"/>
  <c r="G44" i="2"/>
  <c r="J44" i="2" s="1"/>
  <c r="D44" i="2"/>
  <c r="C44" i="2"/>
  <c r="B44" i="2"/>
  <c r="E44" i="2" s="1"/>
  <c r="I43" i="2"/>
  <c r="H43" i="2"/>
  <c r="G43" i="2"/>
  <c r="J43" i="2" s="1"/>
  <c r="E43" i="2"/>
  <c r="D43" i="2"/>
  <c r="C43" i="2"/>
  <c r="B43" i="2"/>
  <c r="J42" i="2"/>
  <c r="I42" i="2"/>
  <c r="H42" i="2"/>
  <c r="G42" i="2"/>
  <c r="D42" i="2"/>
  <c r="C42" i="2"/>
  <c r="B42" i="2"/>
  <c r="E42" i="2" s="1"/>
  <c r="I41" i="2"/>
  <c r="H41" i="2"/>
  <c r="G41" i="2"/>
  <c r="J41" i="2" s="1"/>
  <c r="D41" i="2"/>
  <c r="C41" i="2"/>
  <c r="B41" i="2"/>
  <c r="E41" i="2" s="1"/>
  <c r="J40" i="2"/>
  <c r="I40" i="2"/>
  <c r="H40" i="2"/>
  <c r="G40" i="2"/>
  <c r="E40" i="2"/>
  <c r="D40" i="2"/>
  <c r="C40" i="2"/>
  <c r="B40" i="2"/>
  <c r="I39" i="2"/>
  <c r="H39" i="2"/>
  <c r="G39" i="2"/>
  <c r="J39" i="2" s="1"/>
  <c r="D39" i="2"/>
  <c r="C39" i="2"/>
  <c r="B39" i="2"/>
  <c r="E39" i="2" s="1"/>
  <c r="I38" i="2"/>
  <c r="H38" i="2"/>
  <c r="G38" i="2"/>
  <c r="J38" i="2" s="1"/>
  <c r="E38" i="2"/>
  <c r="D38" i="2"/>
  <c r="C38" i="2"/>
  <c r="B38" i="2"/>
  <c r="J37" i="2"/>
  <c r="I37" i="2"/>
  <c r="H37" i="2"/>
  <c r="G37" i="2"/>
  <c r="D37" i="2"/>
  <c r="C37" i="2"/>
  <c r="B37" i="2"/>
  <c r="E37" i="2" s="1"/>
  <c r="I36" i="2"/>
  <c r="H36" i="2"/>
  <c r="G36" i="2"/>
  <c r="J36" i="2" s="1"/>
  <c r="D36" i="2"/>
  <c r="C36" i="2"/>
  <c r="B36" i="2"/>
  <c r="E36" i="2" s="1"/>
  <c r="J35" i="2"/>
  <c r="I35" i="2"/>
  <c r="H35" i="2"/>
  <c r="G35" i="2"/>
  <c r="E35" i="2"/>
  <c r="D35" i="2"/>
  <c r="C35" i="2"/>
  <c r="B35" i="2"/>
  <c r="I34" i="2"/>
  <c r="H34" i="2"/>
  <c r="G34" i="2"/>
  <c r="J34" i="2" s="1"/>
  <c r="D34" i="2"/>
  <c r="C34" i="2"/>
  <c r="B34" i="2"/>
  <c r="E34" i="2" s="1"/>
  <c r="I33" i="2"/>
  <c r="H33" i="2"/>
  <c r="G33" i="2"/>
  <c r="J33" i="2" s="1"/>
  <c r="E33" i="2"/>
  <c r="D33" i="2"/>
  <c r="C33" i="2"/>
  <c r="B33" i="2"/>
  <c r="J32" i="2"/>
  <c r="I32" i="2"/>
  <c r="H32" i="2"/>
  <c r="G32" i="2"/>
  <c r="D32" i="2"/>
  <c r="C32" i="2"/>
  <c r="B32" i="2"/>
  <c r="E32" i="2" s="1"/>
  <c r="I31" i="2"/>
  <c r="H31" i="2"/>
  <c r="G31" i="2"/>
  <c r="J31" i="2" s="1"/>
  <c r="D31" i="2"/>
  <c r="C31" i="2"/>
  <c r="B31" i="2"/>
  <c r="E31" i="2" s="1"/>
  <c r="J30" i="2"/>
  <c r="I30" i="2"/>
  <c r="H30" i="2"/>
  <c r="G30" i="2"/>
  <c r="E30" i="2"/>
  <c r="D30" i="2"/>
  <c r="C30" i="2"/>
  <c r="B30" i="2"/>
  <c r="I29" i="2"/>
  <c r="H29" i="2"/>
  <c r="G29" i="2"/>
  <c r="J29" i="2" s="1"/>
  <c r="D29" i="2"/>
  <c r="C29" i="2"/>
  <c r="B29" i="2"/>
  <c r="E29" i="2" s="1"/>
  <c r="I28" i="2"/>
  <c r="H28" i="2"/>
  <c r="G28" i="2"/>
  <c r="J28" i="2" s="1"/>
  <c r="E28" i="2"/>
  <c r="D28" i="2"/>
  <c r="C28" i="2"/>
  <c r="B28" i="2"/>
  <c r="J27" i="2"/>
  <c r="I27" i="2"/>
  <c r="H27" i="2"/>
  <c r="G27" i="2"/>
  <c r="D27" i="2"/>
  <c r="C27" i="2"/>
  <c r="B27" i="2"/>
  <c r="E27" i="2" s="1"/>
  <c r="I26" i="2"/>
  <c r="H26" i="2"/>
  <c r="G26" i="2"/>
  <c r="J26" i="2" s="1"/>
  <c r="D26" i="2"/>
  <c r="C26" i="2"/>
  <c r="B26" i="2"/>
  <c r="E26" i="2" s="1"/>
  <c r="I25" i="2"/>
  <c r="H25" i="2"/>
  <c r="G25" i="2"/>
  <c r="J25" i="2" s="1"/>
  <c r="E25" i="2"/>
  <c r="D25" i="2"/>
  <c r="C25" i="2"/>
  <c r="B25" i="2"/>
  <c r="I24" i="2"/>
  <c r="H24" i="2"/>
  <c r="G24" i="2"/>
  <c r="J24" i="2" s="1"/>
  <c r="D24" i="2"/>
  <c r="C24" i="2"/>
  <c r="B24" i="2"/>
  <c r="E24" i="2" s="1"/>
  <c r="I23" i="2"/>
  <c r="H23" i="2"/>
  <c r="G23" i="2"/>
  <c r="J23" i="2" s="1"/>
  <c r="D23" i="2"/>
  <c r="C23" i="2"/>
  <c r="B23" i="2"/>
  <c r="E23" i="2" s="1"/>
  <c r="J22" i="2"/>
  <c r="I22" i="2"/>
  <c r="H22" i="2"/>
  <c r="G22" i="2"/>
  <c r="D22" i="2"/>
  <c r="C22" i="2"/>
  <c r="B22" i="2"/>
  <c r="E22" i="2" s="1"/>
  <c r="I21" i="2"/>
  <c r="H21" i="2"/>
  <c r="G21" i="2"/>
  <c r="J21" i="2" s="1"/>
  <c r="D21" i="2"/>
  <c r="C21" i="2"/>
  <c r="B21" i="2"/>
  <c r="E21" i="2" s="1"/>
  <c r="I20" i="2"/>
  <c r="H20" i="2"/>
  <c r="G20" i="2"/>
  <c r="J20" i="2" s="1"/>
  <c r="E20" i="2"/>
  <c r="D20" i="2"/>
  <c r="C20" i="2"/>
  <c r="B20" i="2"/>
  <c r="I19" i="2"/>
  <c r="H19" i="2"/>
  <c r="G19" i="2"/>
  <c r="J19" i="2" s="1"/>
  <c r="D19" i="2"/>
  <c r="C19" i="2"/>
  <c r="B19" i="2"/>
  <c r="E19" i="2" s="1"/>
  <c r="I18" i="2"/>
  <c r="H18" i="2"/>
  <c r="G18" i="2"/>
  <c r="J18" i="2" s="1"/>
  <c r="D18" i="2"/>
  <c r="C18" i="2"/>
  <c r="B18" i="2"/>
  <c r="E18" i="2" s="1"/>
  <c r="J17" i="2"/>
  <c r="I17" i="2"/>
  <c r="H17" i="2"/>
  <c r="G17" i="2"/>
  <c r="D17" i="2"/>
  <c r="C17" i="2"/>
  <c r="B17" i="2"/>
  <c r="E17" i="2" s="1"/>
  <c r="I16" i="2"/>
  <c r="H16" i="2"/>
  <c r="G16" i="2"/>
  <c r="J16" i="2" s="1"/>
  <c r="D16" i="2"/>
  <c r="C16" i="2"/>
  <c r="B16" i="2"/>
  <c r="E16" i="2" s="1"/>
  <c r="I15" i="2"/>
  <c r="H15" i="2"/>
  <c r="G15" i="2"/>
  <c r="J15" i="2" s="1"/>
  <c r="E15" i="2"/>
  <c r="D15" i="2"/>
  <c r="C15" i="2"/>
  <c r="B15" i="2"/>
  <c r="I14" i="2"/>
  <c r="H14" i="2"/>
  <c r="G14" i="2"/>
  <c r="J14" i="2" s="1"/>
  <c r="D14" i="2"/>
  <c r="C14" i="2"/>
  <c r="B14" i="2"/>
  <c r="E14" i="2" s="1"/>
  <c r="I13" i="2"/>
  <c r="H13" i="2"/>
  <c r="G13" i="2"/>
  <c r="J13" i="2" s="1"/>
  <c r="D13" i="2"/>
  <c r="C13" i="2"/>
  <c r="B13" i="2"/>
  <c r="E13" i="2" s="1"/>
  <c r="J12" i="2"/>
  <c r="I12" i="2"/>
  <c r="H12" i="2"/>
  <c r="G12" i="2"/>
  <c r="D12" i="2"/>
  <c r="C12" i="2"/>
  <c r="B12" i="2"/>
  <c r="E12" i="2" s="1"/>
  <c r="I11" i="2"/>
  <c r="H11" i="2"/>
  <c r="G11" i="2"/>
  <c r="J11" i="2" s="1"/>
  <c r="D11" i="2"/>
  <c r="C11" i="2"/>
  <c r="B11" i="2"/>
  <c r="E11" i="2" s="1"/>
  <c r="I10" i="2"/>
  <c r="H10" i="2"/>
  <c r="G10" i="2"/>
  <c r="J10" i="2" s="1"/>
  <c r="E10" i="2"/>
  <c r="D10" i="2"/>
  <c r="C10" i="2"/>
  <c r="B10" i="2"/>
  <c r="I9" i="2"/>
  <c r="H9" i="2"/>
  <c r="G9" i="2"/>
  <c r="J9" i="2" s="1"/>
  <c r="D9" i="2"/>
  <c r="C9" i="2"/>
  <c r="B9" i="2"/>
  <c r="E9" i="2" s="1"/>
  <c r="I8" i="2"/>
  <c r="H8" i="2"/>
  <c r="G8" i="2"/>
  <c r="J8" i="2" s="1"/>
  <c r="D8" i="2"/>
  <c r="C8" i="2"/>
  <c r="B8" i="2"/>
  <c r="E8" i="2" s="1"/>
  <c r="J7" i="2"/>
  <c r="I7" i="2"/>
  <c r="H7" i="2"/>
  <c r="G7" i="2"/>
  <c r="D7" i="2"/>
  <c r="C7" i="2"/>
  <c r="B7" i="2"/>
  <c r="E7" i="2" s="1"/>
  <c r="A4" i="2"/>
  <c r="A61" i="2" s="1"/>
</calcChain>
</file>

<file path=xl/sharedStrings.xml><?xml version="1.0" encoding="utf-8"?>
<sst xmlns="http://schemas.openxmlformats.org/spreadsheetml/2006/main" count="14" uniqueCount="8">
  <si>
    <t>WORLD OFFICIAL GOLD HOLDINGS</t>
  </si>
  <si>
    <t>Tonnes</t>
  </si>
  <si>
    <t>% of reserves**</t>
  </si>
  <si>
    <t xml:space="preserve">Holdings as of </t>
  </si>
  <si>
    <t>Other</t>
  </si>
  <si>
    <t>Holdings as of</t>
  </si>
  <si>
    <t>Euro Area (incl. ECB)</t>
  </si>
  <si>
    <t>World6)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</si>
</sst>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mmm\ yyyy"/>
    <numFmt numFmtId="167" formatCode="0.0"/>
  </numFmts>
  <fonts count="7" x14ac:knownFonts="1">
    <font>
      <sz val="10"/>
      <color theme="1"/>
      <name val="Arial"/>
      <family val="2"/>
    </font>
    <font>
      <sz val="10"/>
      <color theme="1"/>
      <name val="Arial"/>
      <family val="2"/>
    </font>
    <font>
      <b/>
      <sz val="10"/>
      <color theme="1"/>
      <name val="Arial"/>
      <family val="2"/>
    </font>
    <font>
      <sz val="10"/>
      <name val="Arial"/>
      <family val="2"/>
    </font>
    <font>
      <b/>
      <sz val="14"/>
      <name val="Arial"/>
      <family val="2"/>
    </font>
    <font>
      <sz val="11"/>
      <color theme="1"/>
      <name val="Arial"/>
      <family val="2"/>
      <scheme val="minor"/>
    </font>
    <font>
      <b/>
      <sz val="1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3" fillId="0" borderId="0"/>
    <xf numFmtId="0" fontId="5" fillId="0" borderId="0"/>
    <xf numFmtId="0" fontId="3" fillId="0" borderId="0"/>
    <xf numFmtId="9" fontId="3" fillId="0" borderId="0" applyFont="0" applyFill="0" applyBorder="0" applyAlignment="0" applyProtection="0"/>
  </cellStyleXfs>
  <cellXfs count="35">
    <xf numFmtId="0" fontId="0" fillId="0" borderId="0" xfId="0"/>
    <xf numFmtId="0" fontId="1" fillId="0" borderId="0" xfId="2" applyFont="1"/>
    <xf numFmtId="0" fontId="2" fillId="0" borderId="0" xfId="2" applyFont="1" applyAlignment="1">
      <alignment horizontal="center"/>
    </xf>
    <xf numFmtId="0" fontId="3" fillId="0" borderId="0" xfId="1"/>
    <xf numFmtId="0" fontId="6" fillId="0" borderId="0" xfId="1" applyFont="1" applyAlignment="1">
      <alignment horizontal="left"/>
    </xf>
    <xf numFmtId="0" fontId="6" fillId="0" borderId="0" xfId="1" applyFont="1" applyAlignment="1">
      <alignment horizontal="left" wrapText="1"/>
    </xf>
    <xf numFmtId="0" fontId="3" fillId="0" borderId="0" xfId="1" applyAlignment="1">
      <alignment horizontal="left"/>
    </xf>
    <xf numFmtId="164" fontId="1" fillId="0" borderId="0" xfId="2" applyNumberFormat="1" applyFont="1"/>
    <xf numFmtId="165" fontId="3" fillId="0" borderId="0" xfId="3" applyNumberFormat="1" applyAlignment="1">
      <alignment horizontal="right"/>
    </xf>
    <xf numFmtId="166" fontId="3" fillId="0" borderId="0" xfId="3" applyNumberFormat="1" applyAlignment="1">
      <alignment horizontal="right"/>
    </xf>
    <xf numFmtId="0" fontId="1" fillId="2" borderId="0" xfId="2" applyFont="1" applyFill="1"/>
    <xf numFmtId="164" fontId="1" fillId="2" borderId="0" xfId="2" applyNumberFormat="1" applyFont="1" applyFill="1" applyAlignment="1">
      <alignment horizontal="right"/>
    </xf>
    <xf numFmtId="165" fontId="1" fillId="2" borderId="0" xfId="2" applyNumberFormat="1" applyFont="1" applyFill="1"/>
    <xf numFmtId="0" fontId="3" fillId="0" borderId="0" xfId="2" applyFont="1"/>
    <xf numFmtId="164" fontId="3" fillId="0" borderId="0" xfId="2" applyNumberFormat="1" applyFont="1"/>
    <xf numFmtId="165" fontId="3" fillId="0" borderId="0" xfId="4" applyNumberFormat="1"/>
    <xf numFmtId="165" fontId="1" fillId="0" borderId="0" xfId="2" applyNumberFormat="1" applyFont="1"/>
    <xf numFmtId="165" fontId="3" fillId="0" borderId="0" xfId="4" applyNumberFormat="1" applyAlignment="1">
      <alignment horizontal="right"/>
    </xf>
    <xf numFmtId="165" fontId="3" fillId="0" borderId="0" xfId="2" applyNumberFormat="1" applyFont="1"/>
    <xf numFmtId="164" fontId="1" fillId="0" borderId="0" xfId="2" applyNumberFormat="1" applyFont="1" applyAlignment="1">
      <alignment horizontal="right"/>
    </xf>
    <xf numFmtId="167" fontId="1" fillId="0" borderId="0" xfId="2" applyNumberFormat="1" applyFont="1" applyAlignment="1">
      <alignment horizontal="right"/>
    </xf>
    <xf numFmtId="0" fontId="2" fillId="0" borderId="0" xfId="2" applyFont="1"/>
    <xf numFmtId="0" fontId="6" fillId="0" borderId="0" xfId="1" applyFont="1"/>
    <xf numFmtId="167" fontId="1" fillId="0" borderId="0" xfId="2" applyNumberFormat="1" applyFont="1"/>
    <xf numFmtId="164" fontId="3" fillId="0" borderId="0" xfId="1" applyNumberFormat="1" applyAlignment="1">
      <alignment horizontal="right"/>
    </xf>
    <xf numFmtId="165" fontId="3" fillId="0" borderId="0" xfId="3" applyNumberFormat="1"/>
    <xf numFmtId="165" fontId="1" fillId="0" borderId="0" xfId="4" applyNumberFormat="1" applyFont="1"/>
    <xf numFmtId="167" fontId="3" fillId="0" borderId="0" xfId="2" applyNumberFormat="1" applyFont="1"/>
    <xf numFmtId="164" fontId="3" fillId="0" borderId="0" xfId="1" applyNumberFormat="1"/>
    <xf numFmtId="165" fontId="3" fillId="0" borderId="0" xfId="1" applyNumberFormat="1"/>
    <xf numFmtId="10" fontId="3" fillId="0" borderId="0" xfId="1" applyNumberFormat="1"/>
    <xf numFmtId="0" fontId="1" fillId="0" borderId="0" xfId="2" applyFont="1" applyAlignment="1">
      <alignment horizontal="left" vertical="center" wrapText="1"/>
    </xf>
    <xf numFmtId="0" fontId="1" fillId="0" borderId="0" xfId="2" applyFont="1" applyAlignment="1">
      <alignment vertical="center"/>
    </xf>
    <xf numFmtId="0" fontId="4" fillId="0" borderId="0" xfId="1" applyFont="1" applyAlignment="1">
      <alignment horizontal="center"/>
    </xf>
    <xf numFmtId="0" fontId="2" fillId="0" borderId="0" xfId="2" applyFont="1" applyAlignment="1">
      <alignment horizontal="center"/>
    </xf>
  </cellXfs>
  <cellStyles count="5">
    <cellStyle name="Normal" xfId="0" builtinId="0"/>
    <cellStyle name="Normal 2" xfId="1" xr:uid="{5AEE92A4-72EB-43BF-B323-C661623933FB}"/>
    <cellStyle name="Normal 3" xfId="2" xr:uid="{5A4A3AF5-90E9-4475-B688-F4076DBB8579}"/>
    <cellStyle name="Percent 2 2" xfId="4" xr:uid="{22611771-CD41-4019-B023-7797E474CC12}"/>
    <cellStyle name="Percent 3" xfId="3" xr:uid="{AB5B0F59-486B-4154-B49E-D72A0BEA95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257175</xdr:colOff>
      <xdr:row>67</xdr:row>
      <xdr:rowOff>161924</xdr:rowOff>
    </xdr:from>
    <xdr:to>
      <xdr:col>9</xdr:col>
      <xdr:colOff>57150</xdr:colOff>
      <xdr:row>112</xdr:row>
      <xdr:rowOff>161924</xdr:rowOff>
    </xdr:to>
    <xdr:sp macro="" textlink="">
      <xdr:nvSpPr>
        <xdr:cNvPr id="2" name="Text Box 1">
          <a:extLst>
            <a:ext uri="{FF2B5EF4-FFF2-40B4-BE49-F238E27FC236}">
              <a16:creationId xmlns:a16="http://schemas.microsoft.com/office/drawing/2014/main" id="{B28D1582-F798-439A-B122-B3D43CAF91DD}"/>
            </a:ext>
          </a:extLst>
        </xdr:cNvPr>
        <xdr:cNvSpPr txBox="1">
          <a:spLocks noChangeArrowheads="1"/>
        </xdr:cNvSpPr>
      </xdr:nvSpPr>
      <xdr:spPr bwMode="auto">
        <a:xfrm>
          <a:off x="600075" y="11563349"/>
          <a:ext cx="6496050" cy="7286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i="0" baseline="0">
              <a:latin typeface="+mn-lt"/>
              <a:ea typeface="+mn-ea"/>
              <a:cs typeface="+mn-cs"/>
            </a:rPr>
            <a:t>NOTES</a:t>
          </a:r>
        </a:p>
        <a:p>
          <a:pPr rtl="0"/>
          <a:endParaRPr lang="en-US" sz="1000"/>
        </a:p>
        <a:p>
          <a:pPr rtl="0"/>
          <a:r>
            <a:rPr lang="en-GB" sz="1000" b="0" i="0" baseline="0">
              <a:latin typeface="+mn-lt"/>
              <a:ea typeface="+mn-ea"/>
              <a:cs typeface="+mn-cs"/>
            </a:rPr>
            <a:t>* This table was updated in </a:t>
          </a:r>
          <a:r>
            <a:rPr lang="en-GB" sz="1000" b="1" i="0" baseline="0">
              <a:latin typeface="+mn-lt"/>
              <a:ea typeface="+mn-ea"/>
              <a:cs typeface="+mn-cs"/>
            </a:rPr>
            <a:t>October</a:t>
          </a:r>
          <a:r>
            <a:rPr lang="en-GB" sz="1000" b="1" i="0" baseline="0">
              <a:solidFill>
                <a:sysClr val="windowText" lastClr="000000"/>
              </a:solidFill>
              <a:latin typeface="+mn-lt"/>
              <a:ea typeface="+mn-ea"/>
              <a:cs typeface="+mn-cs"/>
            </a:rPr>
            <a:t> </a:t>
          </a:r>
          <a:r>
            <a:rPr lang="en-GB" sz="1000" b="1" i="0" baseline="0">
              <a:latin typeface="+mn-lt"/>
              <a:ea typeface="+mn-ea"/>
              <a:cs typeface="+mn-cs"/>
            </a:rPr>
            <a:t>2025 </a:t>
          </a:r>
          <a:r>
            <a:rPr lang="en-GB" sz="1000" b="0" i="0" baseline="0">
              <a:latin typeface="+mn-lt"/>
              <a:ea typeface="+mn-ea"/>
              <a:cs typeface="+mn-cs"/>
            </a:rPr>
            <a:t>and reports data available at that time. Data are taken from the International Monetary Fund's International Financial Statistics (IFS), </a:t>
          </a:r>
          <a:r>
            <a:rPr lang="en-GB" sz="1000" b="1" i="0" baseline="0">
              <a:latin typeface="+mn-lt"/>
              <a:ea typeface="+mn-ea"/>
              <a:cs typeface="+mn-cs"/>
            </a:rPr>
            <a:t>October 2025 </a:t>
          </a:r>
          <a:r>
            <a:rPr lang="en-GB" sz="1000" b="0" i="0" baseline="0">
              <a:latin typeface="+mn-lt"/>
              <a:ea typeface="+mn-ea"/>
              <a:cs typeface="+mn-cs"/>
            </a:rPr>
            <a:t>edition, and other sources where applicable. IFS data are two months in arrears, so holdings are as of </a:t>
          </a:r>
          <a:r>
            <a:rPr lang="en-GB" sz="1000" b="1" i="0" baseline="0">
              <a:latin typeface="+mn-lt"/>
              <a:ea typeface="+mn-ea"/>
              <a:cs typeface="+mn-cs"/>
            </a:rPr>
            <a:t>August 2025 </a:t>
          </a:r>
          <a:r>
            <a:rPr lang="en-GB" sz="1000" b="0" i="0" baseline="0">
              <a:latin typeface="+mn-lt"/>
              <a:ea typeface="+mn-ea"/>
              <a:cs typeface="+mn-cs"/>
            </a:rPr>
            <a:t>for most countries, </a:t>
          </a:r>
          <a:r>
            <a:rPr lang="en-GB" sz="1000" b="1" i="0" baseline="0">
              <a:latin typeface="+mn-lt"/>
              <a:ea typeface="+mn-ea"/>
              <a:cs typeface="+mn-cs"/>
            </a:rPr>
            <a:t>July 2025 </a:t>
          </a:r>
          <a:r>
            <a:rPr lang="en-GB" sz="1000" b="0" i="0" baseline="0">
              <a:latin typeface="+mn-lt"/>
              <a:ea typeface="+mn-ea"/>
              <a:cs typeface="+mn-cs"/>
            </a:rPr>
            <a:t>or earlier for late reporters. The table does not list all gold holders: some countries are known to hold gold but they do not report their holdings publicly. Where the WGC knows of movements that are not reported to the IMF or misprints, changes have been made. </a:t>
          </a:r>
        </a:p>
        <a:p>
          <a:pPr rtl="0"/>
          <a:endParaRPr lang="en-GB" sz="1000" b="0" i="0" baseline="0">
            <a:latin typeface="+mn-lt"/>
            <a:ea typeface="+mn-ea"/>
            <a:cs typeface="+mn-cs"/>
          </a:endParaRPr>
        </a:p>
        <a:p>
          <a:pPr rtl="0"/>
          <a:r>
            <a:rPr lang="en-GB" sz="1000" b="0" i="0" baseline="0">
              <a:latin typeface="+mn-lt"/>
              <a:ea typeface="+mn-ea"/>
              <a:cs typeface="+mn-cs"/>
            </a:rPr>
            <a:t>**The percentage share held in gold of total foreign reserves, as calculated by the World Gold Council. The value of gold holdings is calculated using the end of month LBMA Gold price published daily by ICE Benchmark Administration. In </a:t>
          </a:r>
          <a:r>
            <a:rPr lang="en-GB" sz="1000" b="1" i="0" baseline="0">
              <a:latin typeface="+mn-lt"/>
              <a:ea typeface="+mn-ea"/>
              <a:cs typeface="+mn-cs"/>
            </a:rPr>
            <a:t>August 2025 </a:t>
          </a:r>
          <a:r>
            <a:rPr lang="en-GB" sz="1000" b="0" i="0" baseline="0">
              <a:latin typeface="+mn-lt"/>
              <a:ea typeface="+mn-ea"/>
              <a:cs typeface="+mn-cs"/>
            </a:rPr>
            <a:t>the end of month gold price was </a:t>
          </a:r>
          <a:r>
            <a:rPr lang="en-GB" sz="1000" b="1" i="0" baseline="0">
              <a:latin typeface="+mn-lt"/>
              <a:ea typeface="+mn-ea"/>
              <a:cs typeface="+mn-cs"/>
            </a:rPr>
            <a:t>US$3429.15/oz</a:t>
          </a:r>
          <a:r>
            <a:rPr lang="en-GB" sz="1000" b="0" i="0" baseline="0">
              <a:latin typeface="+mn-lt"/>
              <a:ea typeface="+mn-ea"/>
              <a:cs typeface="+mn-cs"/>
            </a:rPr>
            <a:t>. Data for the value of other reserves are taken from IFS, table ‘Total Reserves minus Gold’.</a:t>
          </a:r>
          <a:endParaRPr lang="en-US" sz="1000"/>
        </a:p>
        <a:p>
          <a:pPr rtl="0" fontAlgn="base"/>
          <a:endParaRPr lang="en-GB" sz="1000" b="0" i="0" baseline="0">
            <a:latin typeface="+mn-lt"/>
            <a:ea typeface="+mn-ea"/>
            <a:cs typeface="+mn-cs"/>
          </a:endParaRPr>
        </a:p>
        <a:p>
          <a:pPr rtl="0"/>
          <a:r>
            <a:rPr lang="en-GB" sz="1000" b="0" i="0" baseline="0">
              <a:latin typeface="+mn-lt"/>
              <a:ea typeface="+mn-ea"/>
              <a:cs typeface="+mn-cs"/>
            </a:rPr>
            <a:t>1. BIS and IMF balance sheets do not allow this percentage to be calculated. In the case of any countries, up to date data for other reserves are not available. </a:t>
          </a:r>
          <a:endParaRPr lang="en-US" sz="1000"/>
        </a:p>
        <a:p>
          <a:pPr rtl="0" fontAlgn="base"/>
          <a:r>
            <a:rPr lang="en-GB" sz="1000" b="0" i="0" baseline="0">
              <a:latin typeface="+mn-lt"/>
              <a:ea typeface="+mn-ea"/>
              <a:cs typeface="+mn-cs"/>
            </a:rPr>
            <a:t>2. </a:t>
          </a:r>
          <a:r>
            <a:rPr lang="en-US" sz="1000">
              <a:latin typeface="+mn-lt"/>
              <a:ea typeface="+mn-ea"/>
              <a:cs typeface="+mn-cs"/>
            </a:rPr>
            <a:t>BIS data are updated each year from the BIS’s annual report to reflect the Bank’s gold investment assets excluding any gold held in connection with swap operations, under which the Bank exchanges currencies for physical gold. The bank has an obligation to return the gold at the end of the contract. </a:t>
          </a:r>
          <a:endParaRPr lang="en-GB" sz="1000" b="0" i="0" baseline="0">
            <a:latin typeface="+mn-lt"/>
            <a:ea typeface="+mn-ea"/>
            <a:cs typeface="+mn-cs"/>
          </a:endParaRPr>
        </a:p>
        <a:p>
          <a:r>
            <a:rPr lang="en-GB" sz="1000" b="0" i="0" baseline="0">
              <a:latin typeface="+mn-lt"/>
              <a:ea typeface="+mn-ea"/>
              <a:cs typeface="+mn-cs"/>
            </a:rPr>
            <a:t>3. West African Economic Monetary Union members include Benin, Burkina Faso, Côte D'Ivoire, Guinea-Bissau, Mali, Niger, Senegal, and Togo.</a:t>
          </a:r>
          <a:endParaRPr lang="en-US" sz="1000"/>
        </a:p>
        <a:p>
          <a:pPr rtl="0"/>
          <a:r>
            <a:rPr lang="en-GB" sz="1000" b="0" i="0" baseline="0">
              <a:latin typeface="+mn-lt"/>
              <a:ea typeface="+mn-ea"/>
              <a:cs typeface="+mn-cs"/>
            </a:rPr>
            <a:t>4. Includes only "Monetary gold" as of February 2014.</a:t>
          </a:r>
          <a:endParaRPr lang="en-US" sz="1000"/>
        </a:p>
        <a:p>
          <a:r>
            <a:rPr lang="en-GB" sz="1000">
              <a:latin typeface="+mn-lt"/>
              <a:ea typeface="+mn-ea"/>
              <a:cs typeface="+mn-cs"/>
            </a:rPr>
            <a:t>5. </a:t>
          </a:r>
          <a:r>
            <a:rPr lang="en-GB" sz="1000">
              <a:effectLst/>
              <a:latin typeface="+mn-lt"/>
              <a:ea typeface="+mn-ea"/>
              <a:cs typeface="+mn-cs"/>
            </a:rPr>
            <a:t>The figure provided is official sector gold reserves, i.e. the sum of central bank owned gold and Treasury gold holdings. This is equivalent to gross </a:t>
          </a:r>
          <a:r>
            <a:rPr lang="en-GB" sz="1000">
              <a:effectLst/>
              <a:latin typeface="+mj-lt"/>
              <a:ea typeface="+mn-ea"/>
              <a:cs typeface="+mn-cs"/>
            </a:rPr>
            <a:t>gold reserves less all gold held at the central bank in relation to commercial sector gold policies, such as the Reserve Option Mechanism (ROM), collateral, deposits, and swaps. Please see this link for information on this new methodology: https://www.gold.org/download/file/16208/Central-bank-stats-methodology-techincal-adjustments.pdf</a:t>
          </a:r>
          <a:r>
            <a:rPr lang="en-GB" sz="1000" baseline="0">
              <a:effectLst/>
              <a:latin typeface="+mj-lt"/>
              <a:ea typeface="+mn-ea"/>
              <a:cs typeface="+mn-cs"/>
            </a:rPr>
            <a:t> </a:t>
          </a:r>
          <a:endParaRPr lang="en-GB" sz="1000">
            <a:effectLst/>
            <a:latin typeface="+mj-lt"/>
            <a:ea typeface="+mn-ea"/>
            <a:cs typeface="+mn-cs"/>
          </a:endParaRPr>
        </a:p>
        <a:p>
          <a:r>
            <a:rPr lang="en-GB" sz="1000">
              <a:latin typeface="+mn-lt"/>
              <a:ea typeface="+mn-ea"/>
              <a:cs typeface="+mn-cs"/>
            </a:rPr>
            <a:t>6. World total as calculated by the IMF. This will not equal the total for the countries in the table as ‘World total’ will include data for countries beyond the top 100 and for countries that do not publish their reserves. World total also captures BIS holdings inclusive of swap operations (please see footnote 2 above for World Gold Council treatment of BIS holdings).</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7. In July 2015 The State Bank of Vietnam stated</a:t>
          </a:r>
          <a:r>
            <a:rPr lang="en-GB" sz="1000" baseline="0">
              <a:effectLst/>
              <a:latin typeface="+mn-lt"/>
              <a:ea typeface="+mn-ea"/>
              <a:cs typeface="+mn-cs"/>
            </a:rPr>
            <a:t> </a:t>
          </a:r>
          <a:r>
            <a:rPr lang="en-GB" sz="1000">
              <a:effectLst/>
              <a:latin typeface="+mn-lt"/>
              <a:ea typeface="+mn-ea"/>
              <a:cs typeface="+mn-cs"/>
            </a:rPr>
            <a:t>that gold reserves totalled 10 tonnes. This is omitted from our ranking above due to the current absence of any published data.</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8. Represents the holdings</a:t>
          </a:r>
          <a:r>
            <a:rPr lang="en-GB" sz="1000" baseline="0">
              <a:effectLst/>
              <a:latin typeface="+mn-lt"/>
              <a:ea typeface="+mn-ea"/>
              <a:cs typeface="+mn-cs"/>
            </a:rPr>
            <a:t> of the State Oil Fund of Azerbaijan (SOFAZ) only. </a:t>
          </a:r>
          <a:r>
            <a:rPr lang="en-GB" sz="1000">
              <a:effectLst/>
              <a:latin typeface="+mn-lt"/>
              <a:ea typeface="+mn-ea"/>
              <a:cs typeface="+mn-cs"/>
            </a:rPr>
            <a:t>SOFAZ accumulates gold in accordance with the amendments made to the Investment Policy of the Fund for the purposes of diversification. Its investment policy was amended in 2024 to extend the gold allocation limit from 10% to 15%, along with maximum upper deviation of 3% (www.oilfund.az/en/investments/investment). Currently, the Central Bank of Azerbaijan does not hold any gold.</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9. Bank Central African States (BEAC) is a central bank serving Cameroon, Central African Republic, Chad, Equatorial Guinea, Gabon, and the Republic of the Congo. These</a:t>
          </a:r>
          <a:r>
            <a:rPr lang="en-GB" sz="1000" baseline="0">
              <a:effectLst/>
              <a:latin typeface="+mn-lt"/>
              <a:ea typeface="+mn-ea"/>
              <a:cs typeface="+mn-cs"/>
            </a:rPr>
            <a:t> six countries make up the Economic and Monetary Community of Central Africa.</a:t>
          </a: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100" b="0" i="0" u="none" strike="noStrike" baseline="0">
            <a:solidFill>
              <a:srgbClr val="000000"/>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cs typeface="Arial"/>
            </a:rPr>
            <a:t>Please see Disclaimer on the following page.</a:t>
          </a: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257175</xdr:colOff>
      <xdr:row>121</xdr:row>
      <xdr:rowOff>9525</xdr:rowOff>
    </xdr:from>
    <xdr:to>
      <xdr:col>9</xdr:col>
      <xdr:colOff>542925</xdr:colOff>
      <xdr:row>162</xdr:row>
      <xdr:rowOff>152400</xdr:rowOff>
    </xdr:to>
    <xdr:sp macro="" textlink="">
      <xdr:nvSpPr>
        <xdr:cNvPr id="3" name="Text Box 1">
          <a:extLst>
            <a:ext uri="{FF2B5EF4-FFF2-40B4-BE49-F238E27FC236}">
              <a16:creationId xmlns:a16="http://schemas.microsoft.com/office/drawing/2014/main" id="{2E01A739-C9B7-47D8-854B-1AFABEC6F354}"/>
            </a:ext>
          </a:extLst>
        </xdr:cNvPr>
        <xdr:cNvSpPr txBox="1">
          <a:spLocks noChangeArrowheads="1"/>
        </xdr:cNvSpPr>
      </xdr:nvSpPr>
      <xdr:spPr bwMode="auto">
        <a:xfrm>
          <a:off x="257175" y="20154900"/>
          <a:ext cx="7324725" cy="67818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GB" sz="800" b="1">
              <a:latin typeface="Arial" pitchFamily="34" charset="0"/>
              <a:ea typeface="+mn-ea"/>
              <a:cs typeface="Arial" pitchFamily="34" charset="0"/>
            </a:rPr>
            <a:t>Important information and disclosures</a:t>
          </a:r>
          <a:endParaRPr lang="en-GB" sz="800" b="0">
            <a:latin typeface="Arial" pitchFamily="34" charset="0"/>
            <a:ea typeface="+mn-ea"/>
            <a:cs typeface="Arial" pitchFamily="34" charset="0"/>
          </a:endParaRP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 2025 World Gold Council. All rights reserved. World Gold Council and the Circle device are trademarks of the World Gold Council or its affiliates.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World Gold Council and its affiliates do not guarantee the accuracy or completeness of any information nor accept responsibility for any losses or damages arising directly or indirectly from the use of this information.</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a:t>
          </a:r>
        </a:p>
        <a:p>
          <a:endParaRPr lang="en-GB" sz="800" b="1">
            <a:latin typeface="Arial" pitchFamily="34" charset="0"/>
            <a:ea typeface="+mn-ea"/>
            <a:cs typeface="Arial" pitchFamily="34" charset="0"/>
          </a:endParaRPr>
        </a:p>
        <a:p>
          <a:r>
            <a:rPr lang="en-GB" sz="800" b="1">
              <a:latin typeface="Arial" pitchFamily="34" charset="0"/>
              <a:ea typeface="+mn-ea"/>
              <a:cs typeface="Arial" pitchFamily="34" charset="0"/>
            </a:rPr>
            <a:t>Information regarding the LBMA Gold Price</a:t>
          </a:r>
        </a:p>
        <a:p>
          <a:r>
            <a:rPr lang="en-GB" sz="800" b="0">
              <a:latin typeface="Arial" pitchFamily="34" charset="0"/>
              <a:ea typeface="+mn-ea"/>
              <a:cs typeface="Arial" pitchFamily="34" charset="0"/>
            </a:rPr>
            <a:t>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a:t>
          </a:r>
        </a:p>
        <a:p>
          <a:endParaRPr lang="en-GB" sz="800" b="0">
            <a:latin typeface="Arial" pitchFamily="34" charset="0"/>
            <a:ea typeface="+mn-ea"/>
            <a:cs typeface="Arial" pitchFamily="34" charset="0"/>
          </a:endParaRPr>
        </a:p>
        <a:p>
          <a:r>
            <a:rPr lang="en-GB" sz="800" b="1">
              <a:latin typeface="Arial" pitchFamily="34" charset="0"/>
              <a:ea typeface="+mn-ea"/>
              <a:cs typeface="Arial" pitchFamily="34" charset="0"/>
            </a:rPr>
            <a:t>Information regarding QaurumSM and the Gold Valuation Framework</a:t>
          </a:r>
        </a:p>
        <a:p>
          <a:r>
            <a:rPr lang="en-GB" sz="800" b="0">
              <a:latin typeface="Arial" pitchFamily="34" charset="0"/>
              <a:ea typeface="+mn-ea"/>
              <a:cs typeface="Arial" pitchFamily="34" charset="0"/>
            </a:rPr>
            <a:t>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a:t>
          </a:r>
        </a:p>
        <a:p>
          <a:endParaRPr lang="en-GB" sz="8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October/Workfile_Rankings_Table_Oct_2025.xlsm" TargetMode="External"/><Relationship Id="rId1" Type="http://schemas.openxmlformats.org/officeDocument/2006/relationships/externalLinkPath" Target="Workfile_Rankings_Table_Oct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4">
          <cell r="C4" t="str">
            <v>Latest Values</v>
          </cell>
          <cell r="J4" t="str">
            <v>Date of Last Value Check</v>
          </cell>
        </row>
        <row r="5">
          <cell r="C5" t="str">
            <v>Gold (tonnes)</v>
          </cell>
          <cell r="G5" t="str">
            <v>% of Total Reserves</v>
          </cell>
          <cell r="H5" t="str">
            <v>Rank</v>
          </cell>
          <cell r="J5" t="str">
            <v>Gold (tonnes)</v>
          </cell>
        </row>
        <row r="6">
          <cell r="A6" t="str">
            <v>Afghanistan, Islamic Rep. of</v>
          </cell>
          <cell r="C6">
            <v>21.865850020217103</v>
          </cell>
          <cell r="G6">
            <v>0.22590380396838497</v>
          </cell>
          <cell r="H6">
            <v>69</v>
          </cell>
          <cell r="J6" t="str">
            <v>May 2021</v>
          </cell>
        </row>
        <row r="7">
          <cell r="A7" t="str">
            <v>Albania</v>
          </cell>
          <cell r="C7">
            <v>3.4213554788342511</v>
          </cell>
          <cell r="G7">
            <v>4.8989326390015832E-2</v>
          </cell>
          <cell r="H7">
            <v>95</v>
          </cell>
          <cell r="J7">
            <v>45808</v>
          </cell>
        </row>
        <row r="8">
          <cell r="A8" t="str">
            <v>Algeria</v>
          </cell>
          <cell r="C8">
            <v>173.55603247177382</v>
          </cell>
          <cell r="G8">
            <v>0.24475446883271487</v>
          </cell>
          <cell r="H8">
            <v>28</v>
          </cell>
          <cell r="J8">
            <v>45869</v>
          </cell>
        </row>
        <row r="9">
          <cell r="A9" t="str">
            <v>Argentina</v>
          </cell>
          <cell r="C9">
            <v>61.73873938602221</v>
          </cell>
          <cell r="G9">
            <v>0.17003760363045997</v>
          </cell>
          <cell r="H9">
            <v>52</v>
          </cell>
          <cell r="J9">
            <v>45898</v>
          </cell>
        </row>
        <row r="10">
          <cell r="A10" t="str">
            <v>Armenia, Rep. of</v>
          </cell>
          <cell r="C10">
            <v>0</v>
          </cell>
          <cell r="G10">
            <v>0</v>
          </cell>
          <cell r="H10">
            <v>120</v>
          </cell>
          <cell r="J10">
            <v>45898</v>
          </cell>
        </row>
        <row r="11">
          <cell r="A11" t="str">
            <v>Aruba, Kingdom of the Netherlands</v>
          </cell>
          <cell r="C11">
            <v>3.1103231625765919</v>
          </cell>
          <cell r="G11">
            <v>0.17260038205982828</v>
          </cell>
          <cell r="H11">
            <v>96</v>
          </cell>
          <cell r="J11">
            <v>45626</v>
          </cell>
        </row>
        <row r="12">
          <cell r="A12" t="str">
            <v>Australia</v>
          </cell>
          <cell r="C12">
            <v>79.87309881496688</v>
          </cell>
          <cell r="G12">
            <v>0.1354784405134071</v>
          </cell>
          <cell r="H12">
            <v>45</v>
          </cell>
          <cell r="J12">
            <v>45898</v>
          </cell>
        </row>
        <row r="13">
          <cell r="A13" t="str">
            <v>Austria</v>
          </cell>
          <cell r="C13">
            <v>279.99129109514479</v>
          </cell>
          <cell r="G13">
            <v>0.69690259324532333</v>
          </cell>
          <cell r="H13">
            <v>23</v>
          </cell>
          <cell r="J13">
            <v>45898</v>
          </cell>
        </row>
        <row r="14">
          <cell r="A14" t="str">
            <v>Azerbaijan, Rep. of</v>
          </cell>
          <cell r="C14">
            <v>0</v>
          </cell>
          <cell r="G14">
            <v>0</v>
          </cell>
          <cell r="H14">
            <v>121</v>
          </cell>
          <cell r="J14">
            <v>45869</v>
          </cell>
        </row>
        <row r="15">
          <cell r="A15" t="str">
            <v>Bahamas, The</v>
          </cell>
          <cell r="C15">
            <v>0</v>
          </cell>
          <cell r="G15">
            <v>0</v>
          </cell>
          <cell r="H15">
            <v>122</v>
          </cell>
          <cell r="J15">
            <v>45869</v>
          </cell>
        </row>
        <row r="16">
          <cell r="A16" t="str">
            <v>Bahrain, Kingdom of</v>
          </cell>
          <cell r="C16">
            <v>4.6654847438648872</v>
          </cell>
          <cell r="G16">
            <v>9.2142247480977463E-2</v>
          </cell>
          <cell r="H16">
            <v>89</v>
          </cell>
          <cell r="J16">
            <v>45869</v>
          </cell>
        </row>
        <row r="17">
          <cell r="A17" t="str">
            <v>Bangladesh</v>
          </cell>
          <cell r="C17">
            <v>14.281469316662001</v>
          </cell>
          <cell r="G17">
            <v>6.0218149826709796E-2</v>
          </cell>
          <cell r="H17">
            <v>71</v>
          </cell>
          <cell r="J17">
            <v>45898</v>
          </cell>
        </row>
        <row r="18">
          <cell r="A18" t="str">
            <v>Barbados</v>
          </cell>
          <cell r="C18">
            <v>0</v>
          </cell>
          <cell r="G18">
            <v>0</v>
          </cell>
          <cell r="H18">
            <v>123</v>
          </cell>
          <cell r="J18">
            <v>45838</v>
          </cell>
        </row>
        <row r="19">
          <cell r="A19" t="str">
            <v>Belarus, Rep. of4)</v>
          </cell>
          <cell r="C19">
            <v>53.867686852663994</v>
          </cell>
          <cell r="G19">
            <v>0.47895328124991637</v>
          </cell>
          <cell r="H19">
            <v>54</v>
          </cell>
          <cell r="J19">
            <v>45898</v>
          </cell>
        </row>
        <row r="20">
          <cell r="A20" t="str">
            <v>Belgium</v>
          </cell>
          <cell r="C20">
            <v>227.39572641597462</v>
          </cell>
          <cell r="G20">
            <v>0.50965667460454878</v>
          </cell>
          <cell r="H20">
            <v>25</v>
          </cell>
          <cell r="J20">
            <v>45898</v>
          </cell>
        </row>
        <row r="21">
          <cell r="A21" t="str">
            <v>Benin</v>
          </cell>
          <cell r="C21" t="str">
            <v>-</v>
          </cell>
          <cell r="G21" t="str">
            <v>-</v>
          </cell>
          <cell r="H21" t="str">
            <v>-</v>
          </cell>
          <cell r="J21" t="str">
            <v>-</v>
          </cell>
        </row>
        <row r="22">
          <cell r="A22" t="str">
            <v>Bolivia</v>
          </cell>
          <cell r="C22">
            <v>22.499797828994435</v>
          </cell>
          <cell r="G22">
            <v>0.91834607945371205</v>
          </cell>
          <cell r="H22">
            <v>67</v>
          </cell>
          <cell r="J22">
            <v>45777</v>
          </cell>
        </row>
        <row r="23">
          <cell r="A23" t="str">
            <v>Bosnia and Herzegovina</v>
          </cell>
          <cell r="C23">
            <v>3.4835619420857831</v>
          </cell>
          <cell r="G23">
            <v>4.0990624768178899E-2</v>
          </cell>
          <cell r="H23">
            <v>93</v>
          </cell>
          <cell r="J23">
            <v>45747</v>
          </cell>
        </row>
        <row r="24">
          <cell r="A24" t="str">
            <v>Brazil</v>
          </cell>
          <cell r="C24">
            <v>129.65263049360829</v>
          </cell>
          <cell r="G24">
            <v>4.0787004989959054E-2</v>
          </cell>
          <cell r="H24">
            <v>33</v>
          </cell>
          <cell r="J24">
            <v>45898</v>
          </cell>
        </row>
        <row r="25">
          <cell r="A25" t="str">
            <v>Brunei Darussalam</v>
          </cell>
          <cell r="C25">
            <v>4.5545521756710521</v>
          </cell>
          <cell r="G25">
            <v>0.11074081817426239</v>
          </cell>
          <cell r="H25">
            <v>90</v>
          </cell>
          <cell r="J25">
            <v>45657</v>
          </cell>
        </row>
        <row r="26">
          <cell r="A26" t="str">
            <v>Bulgaria</v>
          </cell>
          <cell r="C26">
            <v>42.92556996671955</v>
          </cell>
          <cell r="G26">
            <v>9.4935734384571854E-2</v>
          </cell>
          <cell r="H26">
            <v>57</v>
          </cell>
          <cell r="J26">
            <v>45898</v>
          </cell>
        </row>
        <row r="27">
          <cell r="A27" t="str">
            <v>Burkina Faso</v>
          </cell>
          <cell r="C27" t="str">
            <v>-</v>
          </cell>
          <cell r="G27" t="str">
            <v>-</v>
          </cell>
          <cell r="H27" t="str">
            <v>-</v>
          </cell>
          <cell r="J27" t="str">
            <v>-</v>
          </cell>
        </row>
        <row r="28">
          <cell r="A28" t="str">
            <v>Burundi</v>
          </cell>
          <cell r="C28" t="str">
            <v>-</v>
          </cell>
          <cell r="G28" t="str">
            <v>-</v>
          </cell>
          <cell r="H28" t="str">
            <v>-</v>
          </cell>
          <cell r="J28" t="str">
            <v>-</v>
          </cell>
        </row>
        <row r="29">
          <cell r="A29" t="str">
            <v>Cambodia</v>
          </cell>
          <cell r="C29">
            <v>54.429179932194955</v>
          </cell>
          <cell r="G29">
            <v>0.23955736264016431</v>
          </cell>
          <cell r="H29">
            <v>53</v>
          </cell>
          <cell r="J29">
            <v>45838</v>
          </cell>
        </row>
        <row r="30">
          <cell r="A30" t="str">
            <v>Cameroon</v>
          </cell>
          <cell r="C30" t="str">
            <v>-</v>
          </cell>
          <cell r="G30" t="str">
            <v>-</v>
          </cell>
          <cell r="H30" t="str">
            <v>-</v>
          </cell>
          <cell r="J30" t="str">
            <v>-</v>
          </cell>
        </row>
        <row r="31">
          <cell r="A31" t="str">
            <v>Canada</v>
          </cell>
          <cell r="C31">
            <v>0</v>
          </cell>
          <cell r="G31">
            <v>0</v>
          </cell>
          <cell r="H31">
            <v>124</v>
          </cell>
          <cell r="J31">
            <v>45898</v>
          </cell>
        </row>
        <row r="32">
          <cell r="A32" t="str">
            <v>Cabo Verde</v>
          </cell>
          <cell r="C32">
            <v>0</v>
          </cell>
          <cell r="G32">
            <v>0</v>
          </cell>
          <cell r="H32">
            <v>125</v>
          </cell>
          <cell r="J32">
            <v>45869</v>
          </cell>
        </row>
        <row r="33">
          <cell r="A33" t="str">
            <v>Central African Republic</v>
          </cell>
          <cell r="C33" t="str">
            <v>-</v>
          </cell>
          <cell r="G33" t="str">
            <v>-</v>
          </cell>
          <cell r="H33" t="str">
            <v>-</v>
          </cell>
          <cell r="J33" t="str">
            <v>-</v>
          </cell>
        </row>
        <row r="34">
          <cell r="A34" t="str">
            <v>Chad</v>
          </cell>
          <cell r="C34" t="str">
            <v>-</v>
          </cell>
          <cell r="G34" t="str">
            <v>-</v>
          </cell>
          <cell r="H34" t="str">
            <v>-</v>
          </cell>
          <cell r="J34" t="str">
            <v>-</v>
          </cell>
        </row>
        <row r="35">
          <cell r="A35" t="str">
            <v>Chile</v>
          </cell>
          <cell r="C35">
            <v>0.24571552984355077</v>
          </cell>
          <cell r="G35">
            <v>5.8411368120970099E-4</v>
          </cell>
          <cell r="H35">
            <v>114</v>
          </cell>
          <cell r="J35">
            <v>45838</v>
          </cell>
        </row>
        <row r="36">
          <cell r="A36" t="str">
            <v>Hong Kong SAR</v>
          </cell>
          <cell r="C36">
            <v>2.0839165189263165</v>
          </cell>
          <cell r="G36">
            <v>5.4028182773786066E-4</v>
          </cell>
          <cell r="H36">
            <v>98</v>
          </cell>
          <cell r="J36">
            <v>45869</v>
          </cell>
        </row>
        <row r="37">
          <cell r="A37" t="str">
            <v>China, P.R.: Macao</v>
          </cell>
          <cell r="C37">
            <v>0</v>
          </cell>
          <cell r="G37">
            <v>0</v>
          </cell>
          <cell r="H37">
            <v>126</v>
          </cell>
          <cell r="J37">
            <v>45869</v>
          </cell>
        </row>
        <row r="38">
          <cell r="A38" t="str">
            <v>China, P.R.: Mainland</v>
          </cell>
          <cell r="C38">
            <v>2302.2612049391932</v>
          </cell>
          <cell r="G38">
            <v>6.9668543908813274E-2</v>
          </cell>
          <cell r="H38">
            <v>7</v>
          </cell>
          <cell r="J38">
            <v>45898</v>
          </cell>
        </row>
        <row r="39">
          <cell r="A39" t="str">
            <v>Colombia</v>
          </cell>
          <cell r="C39">
            <v>4.6750246648626792</v>
          </cell>
          <cell r="G39">
            <v>7.953921957269754E-3</v>
          </cell>
          <cell r="H39">
            <v>88</v>
          </cell>
          <cell r="J39">
            <v>45898</v>
          </cell>
        </row>
        <row r="40">
          <cell r="A40" t="str">
            <v>Comoros, Union of the</v>
          </cell>
          <cell r="C40">
            <v>1.7999844483841874E-2</v>
          </cell>
          <cell r="G40">
            <v>5.9841489574179443E-3</v>
          </cell>
          <cell r="H40">
            <v>118</v>
          </cell>
          <cell r="J40">
            <v>45838</v>
          </cell>
        </row>
        <row r="41">
          <cell r="A41" t="str">
            <v>Congo, Democratic Republic of</v>
          </cell>
          <cell r="C41">
            <v>0</v>
          </cell>
          <cell r="G41">
            <v>0</v>
          </cell>
          <cell r="H41">
            <v>127</v>
          </cell>
          <cell r="J41">
            <v>45535</v>
          </cell>
        </row>
        <row r="42">
          <cell r="A42" t="str">
            <v>Congo, Republic of</v>
          </cell>
          <cell r="C42" t="str">
            <v>-</v>
          </cell>
          <cell r="G42" t="str">
            <v>-</v>
          </cell>
          <cell r="H42" t="str">
            <v>-</v>
          </cell>
          <cell r="J42" t="str">
            <v>-</v>
          </cell>
        </row>
        <row r="43">
          <cell r="A43" t="str">
            <v>Costa Rica</v>
          </cell>
          <cell r="C43">
            <v>0</v>
          </cell>
          <cell r="G43">
            <v>0</v>
          </cell>
          <cell r="H43">
            <v>128</v>
          </cell>
          <cell r="J43">
            <v>45898</v>
          </cell>
        </row>
        <row r="44">
          <cell r="A44" t="str">
            <v>Côte d'Ivoire</v>
          </cell>
          <cell r="C44" t="str">
            <v>-</v>
          </cell>
          <cell r="G44" t="str">
            <v>-</v>
          </cell>
          <cell r="H44" t="str">
            <v>-</v>
          </cell>
          <cell r="J44" t="str">
            <v>-</v>
          </cell>
        </row>
        <row r="45">
          <cell r="A45" t="str">
            <v>Croatia, Rep. of</v>
          </cell>
          <cell r="C45">
            <v>0</v>
          </cell>
          <cell r="G45">
            <v>0</v>
          </cell>
          <cell r="H45">
            <v>129</v>
          </cell>
          <cell r="J45">
            <v>45898</v>
          </cell>
        </row>
        <row r="46">
          <cell r="A46" t="str">
            <v>Curaçao and Sint Maarten</v>
          </cell>
          <cell r="C46">
            <v>9.1754533296009448</v>
          </cell>
          <cell r="G46">
            <v>0.3232271807067999</v>
          </cell>
          <cell r="H46">
            <v>75</v>
          </cell>
          <cell r="J46">
            <v>45838</v>
          </cell>
        </row>
        <row r="47">
          <cell r="A47" t="str">
            <v>Cyprus</v>
          </cell>
          <cell r="C47">
            <v>13.872041305091599</v>
          </cell>
          <cell r="G47">
            <v>0.60864011408773377</v>
          </cell>
          <cell r="H47">
            <v>72</v>
          </cell>
          <cell r="J47">
            <v>45898</v>
          </cell>
        </row>
        <row r="48">
          <cell r="A48" t="str">
            <v>Czech Rep.</v>
          </cell>
          <cell r="C48">
            <v>65.259525364685388</v>
          </cell>
          <cell r="G48">
            <v>4.3521213018813003E-2</v>
          </cell>
          <cell r="H48">
            <v>50</v>
          </cell>
          <cell r="J48">
            <v>45898</v>
          </cell>
        </row>
        <row r="49">
          <cell r="A49" t="str">
            <v>Denmark</v>
          </cell>
          <cell r="C49">
            <v>66.548474386488763</v>
          </cell>
          <cell r="G49">
            <v>5.8152697477910908E-2</v>
          </cell>
          <cell r="H49">
            <v>49</v>
          </cell>
          <cell r="J49">
            <v>45898</v>
          </cell>
        </row>
        <row r="50">
          <cell r="A50" t="str">
            <v>Dominican Rep.</v>
          </cell>
          <cell r="C50">
            <v>0.56905259556467924</v>
          </cell>
          <cell r="G50">
            <v>4.4893639112148819E-3</v>
          </cell>
          <cell r="H50">
            <v>108</v>
          </cell>
          <cell r="J50">
            <v>45898</v>
          </cell>
        </row>
        <row r="51">
          <cell r="A51" t="str">
            <v>Ecuador</v>
          </cell>
          <cell r="C51">
            <v>26.281072812665236</v>
          </cell>
          <cell r="G51">
            <v>0.33401872161423002</v>
          </cell>
          <cell r="H51">
            <v>65</v>
          </cell>
          <cell r="J51">
            <v>45869</v>
          </cell>
        </row>
        <row r="52">
          <cell r="A52" t="str">
            <v>Egypt, Arab Rep. of</v>
          </cell>
          <cell r="C52">
            <v>128.59189418680603</v>
          </cell>
          <cell r="G52">
            <v>0.30201209390931438</v>
          </cell>
          <cell r="H52">
            <v>34</v>
          </cell>
          <cell r="J52">
            <v>45898</v>
          </cell>
        </row>
        <row r="53">
          <cell r="A53" t="str">
            <v>El Salvador</v>
          </cell>
          <cell r="C53">
            <v>1.3719635470125346</v>
          </cell>
          <cell r="G53">
            <v>3.1249204536572067E-2</v>
          </cell>
          <cell r="H53">
            <v>103</v>
          </cell>
          <cell r="J53">
            <v>45898</v>
          </cell>
        </row>
        <row r="54">
          <cell r="A54" t="str">
            <v>Eritrea, The State of</v>
          </cell>
          <cell r="C54" t="str">
            <v>-</v>
          </cell>
          <cell r="G54" t="str">
            <v>-</v>
          </cell>
          <cell r="H54" t="str">
            <v>-</v>
          </cell>
          <cell r="J54" t="str">
            <v>-</v>
          </cell>
        </row>
        <row r="55">
          <cell r="A55" t="str">
            <v>Equatorial Guinea</v>
          </cell>
          <cell r="C55">
            <v>0</v>
          </cell>
          <cell r="G55">
            <v>0</v>
          </cell>
          <cell r="H55">
            <v>130</v>
          </cell>
          <cell r="J55">
            <v>45596</v>
          </cell>
        </row>
        <row r="56">
          <cell r="A56" t="str">
            <v>Estonia, Rep. of</v>
          </cell>
          <cell r="C56">
            <v>0.24882585300612736</v>
          </cell>
          <cell r="G56">
            <v>1.1397313634580478E-2</v>
          </cell>
          <cell r="H56">
            <v>113</v>
          </cell>
          <cell r="J56">
            <v>45898</v>
          </cell>
        </row>
        <row r="57">
          <cell r="A57" t="str">
            <v>Ethiopia, The Federal Dem. Rep. of</v>
          </cell>
          <cell r="C57">
            <v>0</v>
          </cell>
          <cell r="G57">
            <v>0</v>
          </cell>
          <cell r="H57">
            <v>131</v>
          </cell>
          <cell r="J57">
            <v>45657</v>
          </cell>
        </row>
        <row r="58">
          <cell r="A58" t="str">
            <v>Fiji, Rep. of</v>
          </cell>
          <cell r="C58">
            <v>3.110323162576592E-2</v>
          </cell>
          <cell r="G58">
            <v>2.0145874709293471E-3</v>
          </cell>
          <cell r="H58">
            <v>117</v>
          </cell>
          <cell r="J58">
            <v>45869</v>
          </cell>
        </row>
        <row r="59">
          <cell r="A59" t="str">
            <v>Finland</v>
          </cell>
          <cell r="C59">
            <v>43.762246897452648</v>
          </cell>
          <cell r="G59">
            <v>0.233095071341926</v>
          </cell>
          <cell r="H59">
            <v>56</v>
          </cell>
          <cell r="J59">
            <v>45898</v>
          </cell>
        </row>
        <row r="60">
          <cell r="A60" t="str">
            <v>France</v>
          </cell>
          <cell r="C60">
            <v>2437.0004043420113</v>
          </cell>
          <cell r="G60">
            <v>0.75857484049713797</v>
          </cell>
          <cell r="H60">
            <v>5</v>
          </cell>
          <cell r="J60">
            <v>45898</v>
          </cell>
        </row>
        <row r="61">
          <cell r="A61" t="str">
            <v>Gabon</v>
          </cell>
          <cell r="C61" t="str">
            <v>-</v>
          </cell>
          <cell r="G61" t="str">
            <v>-</v>
          </cell>
          <cell r="H61" t="str">
            <v>-</v>
          </cell>
          <cell r="J61" t="str">
            <v>-</v>
          </cell>
        </row>
        <row r="62">
          <cell r="A62" t="str">
            <v>Georgia</v>
          </cell>
          <cell r="C62">
            <v>7.1375073870175108</v>
          </cell>
          <cell r="G62">
            <v>0.15137778992866113</v>
          </cell>
          <cell r="H62">
            <v>79</v>
          </cell>
          <cell r="J62">
            <v>45898</v>
          </cell>
        </row>
        <row r="63">
          <cell r="A63" t="str">
            <v>Germany</v>
          </cell>
          <cell r="C63">
            <v>3350.2534913377499</v>
          </cell>
          <cell r="G63">
            <v>0.78626580226733533</v>
          </cell>
          <cell r="H63">
            <v>2</v>
          </cell>
          <cell r="J63">
            <v>45898</v>
          </cell>
        </row>
        <row r="64">
          <cell r="A64" t="str">
            <v>Ghana</v>
          </cell>
          <cell r="C64">
            <v>36.020000000000003</v>
          </cell>
          <cell r="G64">
            <v>0.52929309092634969</v>
          </cell>
          <cell r="H64">
            <v>61</v>
          </cell>
          <cell r="J64" t="str">
            <v>Apr 2025</v>
          </cell>
        </row>
        <row r="65">
          <cell r="A65" t="str">
            <v>Greece</v>
          </cell>
          <cell r="C65">
            <v>114.67761500419894</v>
          </cell>
          <cell r="G65">
            <v>0.62141547311532608</v>
          </cell>
          <cell r="H65">
            <v>39</v>
          </cell>
          <cell r="J65">
            <v>45898</v>
          </cell>
        </row>
        <row r="66">
          <cell r="A66" t="str">
            <v>Guatemala</v>
          </cell>
          <cell r="C66">
            <v>6.8924761282697276</v>
          </cell>
          <cell r="G66">
            <v>2.5321433221310002E-2</v>
          </cell>
          <cell r="H66">
            <v>81</v>
          </cell>
          <cell r="J66">
            <v>45898</v>
          </cell>
        </row>
        <row r="67">
          <cell r="A67" t="str">
            <v>Guinea</v>
          </cell>
          <cell r="C67">
            <v>6.2933256197318901</v>
          </cell>
          <cell r="G67">
            <v>0.47205905622898059</v>
          </cell>
          <cell r="H67">
            <v>85</v>
          </cell>
          <cell r="J67">
            <v>45626</v>
          </cell>
        </row>
        <row r="68">
          <cell r="A68" t="str">
            <v>Guinea-Bissau</v>
          </cell>
          <cell r="C68" t="str">
            <v>-</v>
          </cell>
          <cell r="G68" t="str">
            <v>-</v>
          </cell>
          <cell r="H68" t="str">
            <v>-</v>
          </cell>
          <cell r="J68" t="str">
            <v>-</v>
          </cell>
        </row>
        <row r="69">
          <cell r="A69" t="str">
            <v>Haiti</v>
          </cell>
          <cell r="C69">
            <v>1.8106130446953439</v>
          </cell>
          <cell r="G69">
            <v>6.4018540171351349E-2</v>
          </cell>
          <cell r="H69">
            <v>101</v>
          </cell>
          <cell r="J69" t="str">
            <v>Jul 2019</v>
          </cell>
        </row>
        <row r="70">
          <cell r="A70" t="str">
            <v>Honduras</v>
          </cell>
          <cell r="C70">
            <v>0.69627582345805739</v>
          </cell>
          <cell r="G70">
            <v>8.5259037091852813E-3</v>
          </cell>
          <cell r="H70">
            <v>107</v>
          </cell>
          <cell r="J70">
            <v>45838</v>
          </cell>
        </row>
        <row r="71">
          <cell r="A71" t="str">
            <v>Hungary</v>
          </cell>
          <cell r="C71">
            <v>110.01213026033405</v>
          </cell>
          <cell r="G71">
            <v>0.21449463410719988</v>
          </cell>
          <cell r="H71">
            <v>40</v>
          </cell>
          <cell r="J71">
            <v>45898</v>
          </cell>
        </row>
        <row r="72">
          <cell r="A72" t="str">
            <v>Iceland</v>
          </cell>
          <cell r="C72">
            <v>1.9843861777238654</v>
          </cell>
          <cell r="G72">
            <v>2.9684546803491921E-2</v>
          </cell>
          <cell r="H72">
            <v>99</v>
          </cell>
          <cell r="J72">
            <v>45838</v>
          </cell>
        </row>
        <row r="73">
          <cell r="A73" t="str">
            <v>India</v>
          </cell>
          <cell r="C73">
            <v>879.98</v>
          </cell>
          <cell r="G73">
            <v>0.1377163545815808</v>
          </cell>
          <cell r="H73">
            <v>9</v>
          </cell>
          <cell r="J73">
            <v>45898</v>
          </cell>
        </row>
        <row r="74">
          <cell r="A74" t="str">
            <v>Indonesia</v>
          </cell>
          <cell r="C74">
            <v>80.401853752604893</v>
          </cell>
          <cell r="G74">
            <v>5.8800224553658666E-2</v>
          </cell>
          <cell r="H74">
            <v>44</v>
          </cell>
          <cell r="J74">
            <v>45898</v>
          </cell>
        </row>
        <row r="75">
          <cell r="A75" t="str">
            <v>Iraq</v>
          </cell>
          <cell r="C75">
            <v>162.66990140275576</v>
          </cell>
          <cell r="G75">
            <v>0.17424369345609902</v>
          </cell>
          <cell r="H75">
            <v>29</v>
          </cell>
          <cell r="J75">
            <v>45688</v>
          </cell>
        </row>
        <row r="76">
          <cell r="A76" t="str">
            <v>Ireland</v>
          </cell>
          <cell r="C76">
            <v>12.03695063917141</v>
          </cell>
          <cell r="G76">
            <v>0.10070074957636485</v>
          </cell>
          <cell r="H76">
            <v>74</v>
          </cell>
          <cell r="J76">
            <v>45898</v>
          </cell>
        </row>
        <row r="77">
          <cell r="A77" t="str">
            <v>Israel</v>
          </cell>
          <cell r="C77" t="str">
            <v>-</v>
          </cell>
          <cell r="G77" t="str">
            <v>-</v>
          </cell>
          <cell r="H77" t="str">
            <v>-</v>
          </cell>
          <cell r="J77" t="str">
            <v>-</v>
          </cell>
        </row>
        <row r="78">
          <cell r="A78" t="str">
            <v>Italy</v>
          </cell>
          <cell r="C78">
            <v>2451.8366458275013</v>
          </cell>
          <cell r="G78">
            <v>0.75362818028805612</v>
          </cell>
          <cell r="H78">
            <v>4</v>
          </cell>
          <cell r="J78">
            <v>45898</v>
          </cell>
        </row>
        <row r="79">
          <cell r="A79" t="str">
            <v>Jamaica</v>
          </cell>
          <cell r="C79">
            <v>0</v>
          </cell>
          <cell r="G79">
            <v>0</v>
          </cell>
          <cell r="H79">
            <v>132</v>
          </cell>
          <cell r="J79">
            <v>45869</v>
          </cell>
        </row>
        <row r="80">
          <cell r="A80" t="str">
            <v>Japan</v>
          </cell>
          <cell r="C80">
            <v>845.97309041709434</v>
          </cell>
          <cell r="G80">
            <v>7.0472280671340218E-2</v>
          </cell>
          <cell r="H80">
            <v>10</v>
          </cell>
          <cell r="J80">
            <v>45898</v>
          </cell>
        </row>
        <row r="81">
          <cell r="A81" t="str">
            <v>Jordan</v>
          </cell>
          <cell r="C81">
            <v>72.537327205996704</v>
          </cell>
          <cell r="G81">
            <v>0.33732832094842963</v>
          </cell>
          <cell r="H81">
            <v>48</v>
          </cell>
          <cell r="J81">
            <v>45898</v>
          </cell>
        </row>
        <row r="82">
          <cell r="A82" t="str">
            <v>Kazakhstan, Rep. of</v>
          </cell>
          <cell r="C82">
            <v>316.46037012845636</v>
          </cell>
          <cell r="G82">
            <v>0.63718961016396491</v>
          </cell>
          <cell r="H82">
            <v>19</v>
          </cell>
          <cell r="J82">
            <v>45898</v>
          </cell>
        </row>
        <row r="83">
          <cell r="A83" t="str">
            <v>Kenya</v>
          </cell>
          <cell r="C83">
            <v>1.7433983390874312E-2</v>
          </cell>
          <cell r="G83">
            <v>1.6183736294558864E-4</v>
          </cell>
          <cell r="H83">
            <v>119</v>
          </cell>
          <cell r="J83">
            <v>45838</v>
          </cell>
        </row>
        <row r="84">
          <cell r="A84" t="str">
            <v>Korea, Rep. of</v>
          </cell>
          <cell r="C84">
            <v>104.44677475039657</v>
          </cell>
          <cell r="G84">
            <v>2.764585058464852E-2</v>
          </cell>
          <cell r="H84">
            <v>41</v>
          </cell>
          <cell r="J84">
            <v>45869</v>
          </cell>
        </row>
        <row r="85">
          <cell r="A85" t="str">
            <v>Kosovo, Republic of</v>
          </cell>
          <cell r="C85" t="str">
            <v>-</v>
          </cell>
          <cell r="G85" t="str">
            <v>-</v>
          </cell>
          <cell r="H85" t="str">
            <v>-</v>
          </cell>
          <cell r="J85" t="str">
            <v>-</v>
          </cell>
        </row>
        <row r="86">
          <cell r="A86" t="str">
            <v>Kuwait</v>
          </cell>
          <cell r="C86">
            <v>78.976319492395263</v>
          </cell>
          <cell r="G86">
            <v>0.16793239667633478</v>
          </cell>
          <cell r="H86">
            <v>46</v>
          </cell>
          <cell r="J86">
            <v>45869</v>
          </cell>
        </row>
        <row r="87">
          <cell r="A87" t="str">
            <v>Kyrgyz Rep.</v>
          </cell>
          <cell r="C87">
            <v>40.297544897514854</v>
          </cell>
          <cell r="G87">
            <v>0.66236446458989884</v>
          </cell>
          <cell r="H87">
            <v>58</v>
          </cell>
          <cell r="J87">
            <v>45869</v>
          </cell>
        </row>
        <row r="88">
          <cell r="A88" t="str">
            <v>Lao People's Dem. Rep.</v>
          </cell>
          <cell r="C88">
            <v>0.88092405016329201</v>
          </cell>
          <cell r="G88">
            <v>3.3682775010041306E-2</v>
          </cell>
          <cell r="H88">
            <v>106</v>
          </cell>
          <cell r="J88" t="str">
            <v>Feb 2020</v>
          </cell>
        </row>
        <row r="89">
          <cell r="A89" t="str">
            <v>Latvia</v>
          </cell>
          <cell r="C89">
            <v>6.6560915679139061</v>
          </cell>
          <cell r="G89">
            <v>0.12564541761953166</v>
          </cell>
          <cell r="H89">
            <v>84</v>
          </cell>
          <cell r="J89">
            <v>45898</v>
          </cell>
        </row>
        <row r="90">
          <cell r="A90" t="str">
            <v>Lebanon</v>
          </cell>
          <cell r="C90">
            <v>286.83400205281328</v>
          </cell>
          <cell r="G90">
            <v>0.76299655664918409</v>
          </cell>
          <cell r="H90">
            <v>21</v>
          </cell>
          <cell r="J90">
            <v>45747</v>
          </cell>
        </row>
        <row r="91">
          <cell r="A91" t="str">
            <v>Libya</v>
          </cell>
          <cell r="C91">
            <v>146.6517371154863</v>
          </cell>
          <cell r="G91">
            <v>0.16234890318317913</v>
          </cell>
          <cell r="H91">
            <v>31</v>
          </cell>
          <cell r="J91">
            <v>45898</v>
          </cell>
        </row>
        <row r="92">
          <cell r="A92" t="str">
            <v>Lithuania</v>
          </cell>
          <cell r="C92">
            <v>5.8163043140182262</v>
          </cell>
          <cell r="G92">
            <v>9.5326154098066287E-2</v>
          </cell>
          <cell r="H92">
            <v>86</v>
          </cell>
          <cell r="J92">
            <v>45898</v>
          </cell>
        </row>
        <row r="93">
          <cell r="A93" t="str">
            <v>Luxembourg</v>
          </cell>
          <cell r="C93">
            <v>2.239432677055146</v>
          </cell>
          <cell r="G93">
            <v>8.3226108466023949E-2</v>
          </cell>
          <cell r="H93">
            <v>97</v>
          </cell>
          <cell r="J93">
            <v>45869</v>
          </cell>
        </row>
        <row r="94">
          <cell r="A94" t="str">
            <v>North Macedonia, Republic of</v>
          </cell>
          <cell r="C94">
            <v>6.8930065005754102</v>
          </cell>
          <cell r="G94">
            <v>0.13699089717279184</v>
          </cell>
          <cell r="H94">
            <v>80</v>
          </cell>
          <cell r="J94">
            <v>45898</v>
          </cell>
        </row>
        <row r="95">
          <cell r="A95" t="str">
            <v>Malawi</v>
          </cell>
          <cell r="C95">
            <v>0.4</v>
          </cell>
          <cell r="G95">
            <v>9.4327443694206661E-2</v>
          </cell>
          <cell r="H95">
            <v>110</v>
          </cell>
          <cell r="J95" t="str">
            <v>Oct 2021</v>
          </cell>
        </row>
        <row r="96">
          <cell r="A96" t="str">
            <v>Malaysia</v>
          </cell>
          <cell r="C96">
            <v>38.8790395322074</v>
          </cell>
          <cell r="G96">
            <v>3.4889228429876233E-2</v>
          </cell>
          <cell r="H96">
            <v>59</v>
          </cell>
          <cell r="J96">
            <v>45898</v>
          </cell>
        </row>
        <row r="97">
          <cell r="A97" t="str">
            <v>Maldives</v>
          </cell>
          <cell r="C97">
            <v>0</v>
          </cell>
          <cell r="G97">
            <v>0</v>
          </cell>
          <cell r="H97">
            <v>133</v>
          </cell>
          <cell r="J97">
            <v>45898</v>
          </cell>
        </row>
        <row r="98">
          <cell r="A98" t="str">
            <v>Mali</v>
          </cell>
          <cell r="C98" t="str">
            <v>-</v>
          </cell>
          <cell r="G98" t="str">
            <v>-</v>
          </cell>
          <cell r="H98" t="str">
            <v>-</v>
          </cell>
          <cell r="J98" t="str">
            <v>-</v>
          </cell>
        </row>
        <row r="99">
          <cell r="A99" t="str">
            <v>Malta</v>
          </cell>
          <cell r="C99">
            <v>0.3421355478834251</v>
          </cell>
          <cell r="G99">
            <v>2.2988473061528097E-2</v>
          </cell>
          <cell r="H99">
            <v>111</v>
          </cell>
          <cell r="J99">
            <v>45898</v>
          </cell>
        </row>
        <row r="100">
          <cell r="A100" t="str">
            <v>Mauritania, Islamic Rep. of</v>
          </cell>
          <cell r="C100">
            <v>1.023768730191907</v>
          </cell>
          <cell r="G100" t="str">
            <v>-</v>
          </cell>
          <cell r="H100">
            <v>105</v>
          </cell>
          <cell r="J100" t="str">
            <v>Aug 2019</v>
          </cell>
        </row>
        <row r="101">
          <cell r="A101" t="str">
            <v>Mauritius</v>
          </cell>
          <cell r="C101">
            <v>12.416410065005755</v>
          </cell>
          <cell r="G101">
            <v>0.14623351539169563</v>
          </cell>
          <cell r="H101">
            <v>73</v>
          </cell>
          <cell r="J101">
            <v>45898</v>
          </cell>
        </row>
        <row r="102">
          <cell r="A102" t="str">
            <v>Mexico</v>
          </cell>
          <cell r="C102">
            <v>120.14896329818669</v>
          </cell>
          <cell r="G102">
            <v>5.3251946834351215E-2</v>
          </cell>
          <cell r="H102">
            <v>37</v>
          </cell>
          <cell r="J102">
            <v>45898</v>
          </cell>
        </row>
        <row r="103">
          <cell r="A103" t="str">
            <v>Micronesia, Federated States of</v>
          </cell>
          <cell r="C103" t="str">
            <v>-</v>
          </cell>
          <cell r="G103" t="str">
            <v>-</v>
          </cell>
          <cell r="H103" t="str">
            <v>-</v>
          </cell>
          <cell r="J103" t="str">
            <v>-</v>
          </cell>
        </row>
        <row r="104">
          <cell r="A104" t="str">
            <v>Moldova, Rep. of</v>
          </cell>
          <cell r="C104">
            <v>7.4132873005505279E-2</v>
          </cell>
          <cell r="G104">
            <v>1.3647056492341551E-3</v>
          </cell>
          <cell r="H104">
            <v>116</v>
          </cell>
          <cell r="J104">
            <v>45898</v>
          </cell>
        </row>
        <row r="105">
          <cell r="A105" t="str">
            <v>Mongolia</v>
          </cell>
          <cell r="C105">
            <v>7.2020562346427797</v>
          </cell>
          <cell r="G105">
            <v>0.1396506423167537</v>
          </cell>
          <cell r="H105">
            <v>78</v>
          </cell>
          <cell r="J105">
            <v>45898</v>
          </cell>
        </row>
        <row r="106">
          <cell r="A106" t="str">
            <v>Montenegro</v>
          </cell>
          <cell r="C106">
            <v>0</v>
          </cell>
          <cell r="G106">
            <v>0</v>
          </cell>
          <cell r="H106">
            <v>134</v>
          </cell>
          <cell r="J106">
            <v>45898</v>
          </cell>
        </row>
        <row r="107">
          <cell r="A107" t="str">
            <v>Morocco</v>
          </cell>
          <cell r="C107">
            <v>22.1153988989456</v>
          </cell>
          <cell r="G107">
            <v>5.4787558149650938E-2</v>
          </cell>
          <cell r="H107">
            <v>68</v>
          </cell>
          <cell r="J107">
            <v>45869</v>
          </cell>
        </row>
        <row r="108">
          <cell r="A108" t="str">
            <v>Mozambique, Rep. of</v>
          </cell>
          <cell r="C108">
            <v>3.9368848558365213</v>
          </cell>
          <cell r="G108">
            <v>0.10544298596392215</v>
          </cell>
          <cell r="H108">
            <v>92</v>
          </cell>
          <cell r="J108">
            <v>45869</v>
          </cell>
        </row>
        <row r="109">
          <cell r="A109" t="str">
            <v>Myanmar</v>
          </cell>
          <cell r="C109" t="str">
            <v>-</v>
          </cell>
          <cell r="G109" t="str">
            <v>-</v>
          </cell>
          <cell r="H109" t="str">
            <v>-</v>
          </cell>
          <cell r="J109" t="str">
            <v>-</v>
          </cell>
        </row>
        <row r="110">
          <cell r="A110" t="str">
            <v>Namibia</v>
          </cell>
          <cell r="C110" t="str">
            <v>-</v>
          </cell>
          <cell r="G110" t="str">
            <v>-</v>
          </cell>
          <cell r="H110" t="str">
            <v>-</v>
          </cell>
          <cell r="J110" t="str">
            <v>-</v>
          </cell>
        </row>
        <row r="111">
          <cell r="A111" t="str">
            <v>Nepal</v>
          </cell>
          <cell r="C111" t="str">
            <v>-</v>
          </cell>
          <cell r="G111" t="str">
            <v>-</v>
          </cell>
          <cell r="H111" t="str">
            <v>-</v>
          </cell>
          <cell r="J111" t="str">
            <v>-</v>
          </cell>
        </row>
        <row r="112">
          <cell r="A112" t="str">
            <v>Netherlands, The</v>
          </cell>
          <cell r="C112">
            <v>612.45373394295666</v>
          </cell>
          <cell r="G112">
            <v>0.69139336116407168</v>
          </cell>
          <cell r="H112">
            <v>12</v>
          </cell>
          <cell r="J112">
            <v>45898</v>
          </cell>
        </row>
        <row r="113">
          <cell r="A113" t="str">
            <v>Netherlands Antilles</v>
          </cell>
          <cell r="C113" t="str">
            <v>-</v>
          </cell>
          <cell r="G113" t="str">
            <v>-</v>
          </cell>
          <cell r="H113" t="str">
            <v>-</v>
          </cell>
          <cell r="J113" t="str">
            <v>-</v>
          </cell>
        </row>
        <row r="114">
          <cell r="A114" t="str">
            <v>New Zealand</v>
          </cell>
          <cell r="C114">
            <v>0</v>
          </cell>
          <cell r="G114">
            <v>0</v>
          </cell>
          <cell r="H114">
            <v>135</v>
          </cell>
          <cell r="J114">
            <v>45898</v>
          </cell>
        </row>
        <row r="115">
          <cell r="A115" t="str">
            <v>Nicaragua</v>
          </cell>
          <cell r="C115">
            <v>0</v>
          </cell>
          <cell r="G115">
            <v>0</v>
          </cell>
          <cell r="H115">
            <v>136</v>
          </cell>
          <cell r="J115">
            <v>45869</v>
          </cell>
        </row>
        <row r="116">
          <cell r="A116" t="str">
            <v>Niger</v>
          </cell>
          <cell r="C116" t="str">
            <v>-</v>
          </cell>
          <cell r="G116" t="str">
            <v>-</v>
          </cell>
          <cell r="H116" t="str">
            <v>-</v>
          </cell>
          <cell r="J116" t="str">
            <v>-</v>
          </cell>
        </row>
        <row r="117">
          <cell r="A117" t="str">
            <v>Nigeria</v>
          </cell>
          <cell r="C117">
            <v>21.461229821778481</v>
          </cell>
          <cell r="G117">
            <v>6.2028207747595203E-2</v>
          </cell>
          <cell r="H117">
            <v>70</v>
          </cell>
          <cell r="J117" t="str">
            <v>Jan 2018</v>
          </cell>
        </row>
        <row r="118">
          <cell r="A118" t="str">
            <v>Norway</v>
          </cell>
          <cell r="C118">
            <v>0</v>
          </cell>
          <cell r="G118">
            <v>0</v>
          </cell>
          <cell r="H118">
            <v>137</v>
          </cell>
          <cell r="J118">
            <v>45898</v>
          </cell>
        </row>
        <row r="119">
          <cell r="A119" t="str">
            <v>Oman</v>
          </cell>
          <cell r="C119">
            <v>6.7275978974215418</v>
          </cell>
          <cell r="G119">
            <v>3.8981474123129058E-2</v>
          </cell>
          <cell r="H119">
            <v>83</v>
          </cell>
          <cell r="J119">
            <v>45747</v>
          </cell>
        </row>
        <row r="120">
          <cell r="A120" t="str">
            <v>Pakistan</v>
          </cell>
          <cell r="C120">
            <v>64.753391776305563</v>
          </cell>
          <cell r="G120">
            <v>0.31318651991817004</v>
          </cell>
          <cell r="H120">
            <v>51</v>
          </cell>
          <cell r="J120">
            <v>45898</v>
          </cell>
        </row>
        <row r="121">
          <cell r="A121" t="str">
            <v>Papua New Guinea</v>
          </cell>
          <cell r="C121" t="str">
            <v>-</v>
          </cell>
          <cell r="G121" t="str">
            <v>-</v>
          </cell>
          <cell r="H121" t="str">
            <v>-</v>
          </cell>
          <cell r="J121" t="str">
            <v>Jun 2020</v>
          </cell>
        </row>
        <row r="122">
          <cell r="A122" t="str">
            <v>Paraguay</v>
          </cell>
          <cell r="C122">
            <v>8.193368791017388</v>
          </cell>
          <cell r="G122">
            <v>8.812615214435407E-2</v>
          </cell>
          <cell r="H122">
            <v>76</v>
          </cell>
          <cell r="J122">
            <v>45535</v>
          </cell>
        </row>
        <row r="123">
          <cell r="A123" t="str">
            <v>Peru</v>
          </cell>
          <cell r="C123">
            <v>34.670156760287391</v>
          </cell>
          <cell r="G123">
            <v>4.6284133110265614E-2</v>
          </cell>
          <cell r="H123">
            <v>62</v>
          </cell>
          <cell r="J123" t="str">
            <v>Jul 2021</v>
          </cell>
        </row>
        <row r="124">
          <cell r="A124" t="str">
            <v>Philippines</v>
          </cell>
          <cell r="C124">
            <v>131.25563746073217</v>
          </cell>
          <cell r="G124">
            <v>0.13518537030860547</v>
          </cell>
          <cell r="H124">
            <v>32</v>
          </cell>
          <cell r="J124">
            <v>45898</v>
          </cell>
        </row>
        <row r="125">
          <cell r="A125" t="str">
            <v>Poland, Rep. of</v>
          </cell>
          <cell r="C125">
            <v>515.32831513794292</v>
          </cell>
          <cell r="G125">
            <v>0.21750191021206444</v>
          </cell>
          <cell r="H125">
            <v>13</v>
          </cell>
          <cell r="J125">
            <v>45898</v>
          </cell>
        </row>
        <row r="126">
          <cell r="A126" t="str">
            <v>Portugal</v>
          </cell>
          <cell r="C126">
            <v>382.66305869179814</v>
          </cell>
          <cell r="G126">
            <v>0.79826168030470701</v>
          </cell>
          <cell r="H126">
            <v>16</v>
          </cell>
          <cell r="J126">
            <v>45898</v>
          </cell>
        </row>
        <row r="127">
          <cell r="A127" t="str">
            <v>Qatar</v>
          </cell>
          <cell r="C127">
            <v>115.19622142390594</v>
          </cell>
          <cell r="G127">
            <v>0.22823618174744323</v>
          </cell>
          <cell r="H127">
            <v>38</v>
          </cell>
          <cell r="J127">
            <v>45869</v>
          </cell>
        </row>
        <row r="128">
          <cell r="A128" t="str">
            <v>Romania</v>
          </cell>
          <cell r="C128">
            <v>103.62663680756431</v>
          </cell>
          <cell r="G128">
            <v>0.13057425328794181</v>
          </cell>
          <cell r="H128">
            <v>42</v>
          </cell>
          <cell r="J128">
            <v>45898</v>
          </cell>
        </row>
        <row r="129">
          <cell r="A129" t="str">
            <v>Russian Federation</v>
          </cell>
          <cell r="C129">
            <v>2326.5217256072901</v>
          </cell>
          <cell r="G129">
            <v>0.3798413224050316</v>
          </cell>
          <cell r="H129">
            <v>6</v>
          </cell>
          <cell r="J129">
            <v>45898</v>
          </cell>
        </row>
        <row r="130">
          <cell r="A130" t="str">
            <v>Rwanda</v>
          </cell>
          <cell r="C130" t="str">
            <v>-</v>
          </cell>
          <cell r="G130" t="str">
            <v>-</v>
          </cell>
          <cell r="H130" t="str">
            <v>-</v>
          </cell>
          <cell r="J130" t="str">
            <v>-</v>
          </cell>
        </row>
        <row r="131">
          <cell r="A131" t="str">
            <v>San Marino</v>
          </cell>
          <cell r="C131">
            <v>0</v>
          </cell>
          <cell r="G131">
            <v>0</v>
          </cell>
          <cell r="H131">
            <v>138</v>
          </cell>
          <cell r="J131">
            <v>45838</v>
          </cell>
        </row>
        <row r="132">
          <cell r="A132" t="str">
            <v>Saudi Arabia</v>
          </cell>
          <cell r="C132">
            <v>323.06743180616468</v>
          </cell>
          <cell r="G132">
            <v>7.2076154199896422E-2</v>
          </cell>
          <cell r="H132">
            <v>18</v>
          </cell>
          <cell r="J132">
            <v>45808</v>
          </cell>
        </row>
        <row r="133">
          <cell r="A133" t="str">
            <v>Senegal</v>
          </cell>
          <cell r="C133" t="str">
            <v>-</v>
          </cell>
          <cell r="G133" t="str">
            <v>-</v>
          </cell>
          <cell r="H133" t="str">
            <v>-</v>
          </cell>
          <cell r="J133" t="str">
            <v>-</v>
          </cell>
        </row>
        <row r="134">
          <cell r="A134" t="str">
            <v>Serbia, Rep. of</v>
          </cell>
          <cell r="C134">
            <v>51.315303940779451</v>
          </cell>
          <cell r="G134">
            <v>0.16949296625356633</v>
          </cell>
          <cell r="H134">
            <v>55</v>
          </cell>
          <cell r="J134">
            <v>45898</v>
          </cell>
        </row>
        <row r="135">
          <cell r="A135" t="str">
            <v>Singapore</v>
          </cell>
          <cell r="C135">
            <v>204.13050915990172</v>
          </cell>
          <cell r="G135">
            <v>5.5052417419333886E-2</v>
          </cell>
          <cell r="H135">
            <v>26</v>
          </cell>
          <cell r="J135">
            <v>45898</v>
          </cell>
        </row>
        <row r="136">
          <cell r="A136" t="str">
            <v>Slovak Rep.</v>
          </cell>
          <cell r="C136">
            <v>31.694193026655469</v>
          </cell>
          <cell r="G136">
            <v>0.20315584687839472</v>
          </cell>
          <cell r="H136">
            <v>63</v>
          </cell>
          <cell r="J136">
            <v>45898</v>
          </cell>
        </row>
        <row r="137">
          <cell r="A137" t="str">
            <v>Slovenia, Rep. of</v>
          </cell>
          <cell r="C137">
            <v>4.0123168797238034</v>
          </cell>
          <cell r="G137">
            <v>0.13271411294135002</v>
          </cell>
          <cell r="H137">
            <v>91</v>
          </cell>
          <cell r="J137">
            <v>45898</v>
          </cell>
        </row>
        <row r="138">
          <cell r="A138" t="str">
            <v>Solomon Islands</v>
          </cell>
          <cell r="C138" t="str">
            <v>-</v>
          </cell>
          <cell r="G138" t="str">
            <v>-</v>
          </cell>
          <cell r="H138" t="str">
            <v>-</v>
          </cell>
          <cell r="J138" t="str">
            <v>-</v>
          </cell>
        </row>
        <row r="139">
          <cell r="A139" t="str">
            <v>South Africa</v>
          </cell>
          <cell r="C139">
            <v>125.47043637833971</v>
          </cell>
          <cell r="G139">
            <v>0.1963164184325428</v>
          </cell>
          <cell r="H139">
            <v>36</v>
          </cell>
          <cell r="J139">
            <v>45898</v>
          </cell>
        </row>
        <row r="140">
          <cell r="A140" t="str">
            <v>South Sudan</v>
          </cell>
          <cell r="C140" t="str">
            <v>-</v>
          </cell>
          <cell r="G140" t="str">
            <v>-</v>
          </cell>
          <cell r="H140" t="str">
            <v>-</v>
          </cell>
          <cell r="J140" t="str">
            <v>-</v>
          </cell>
        </row>
        <row r="141">
          <cell r="A141" t="str">
            <v>Spain</v>
          </cell>
          <cell r="C141">
            <v>281.57755590805886</v>
          </cell>
          <cell r="G141">
            <v>0.26383785219749545</v>
          </cell>
          <cell r="H141">
            <v>22</v>
          </cell>
          <cell r="J141">
            <v>45898</v>
          </cell>
        </row>
        <row r="142">
          <cell r="A142" t="str">
            <v>Sri Lanka</v>
          </cell>
          <cell r="C142">
            <v>0.46965879754906537</v>
          </cell>
          <cell r="G142">
            <v>8.4225848090955912E-3</v>
          </cell>
          <cell r="H142">
            <v>109</v>
          </cell>
          <cell r="J142">
            <v>45869</v>
          </cell>
        </row>
        <row r="143">
          <cell r="A143" t="str">
            <v>Suriname</v>
          </cell>
          <cell r="C143">
            <v>1.2138452925258936</v>
          </cell>
          <cell r="G143">
            <v>8.647101045603206E-2</v>
          </cell>
          <cell r="H143">
            <v>104</v>
          </cell>
          <cell r="J143">
            <v>45898</v>
          </cell>
        </row>
        <row r="144">
          <cell r="A144" t="str">
            <v>Sweden</v>
          </cell>
          <cell r="C144">
            <v>125.71926223134584</v>
          </cell>
          <cell r="G144">
            <v>0.19862241320973456</v>
          </cell>
          <cell r="H144">
            <v>35</v>
          </cell>
          <cell r="J144">
            <v>45898</v>
          </cell>
        </row>
        <row r="145">
          <cell r="A145" t="str">
            <v>Switzerland</v>
          </cell>
          <cell r="C145">
            <v>1039.9365494074837</v>
          </cell>
          <cell r="G145">
            <v>0.11358279110111855</v>
          </cell>
          <cell r="H145">
            <v>8</v>
          </cell>
          <cell r="J145">
            <v>45869</v>
          </cell>
        </row>
        <row r="146">
          <cell r="A146" t="str">
            <v>Syrian Arab Republic</v>
          </cell>
          <cell r="C146">
            <v>25.8</v>
          </cell>
          <cell r="G146">
            <v>0.14577683785167062</v>
          </cell>
          <cell r="H146">
            <v>66</v>
          </cell>
          <cell r="J146" t="str">
            <v>Jun 2011</v>
          </cell>
        </row>
        <row r="147">
          <cell r="A147" t="str">
            <v>Taiwan Province of China</v>
          </cell>
          <cell r="C147">
            <v>423.93704705918947</v>
          </cell>
          <cell r="G147">
            <v>7.3065876781584979E-2</v>
          </cell>
          <cell r="H147">
            <v>15</v>
          </cell>
          <cell r="J147">
            <v>45808</v>
          </cell>
        </row>
        <row r="148">
          <cell r="A148" t="str">
            <v>Tajikistan, Rep. of</v>
          </cell>
          <cell r="C148">
            <v>7.4152564461431689</v>
          </cell>
          <cell r="G148">
            <v>0.17626612334393899</v>
          </cell>
          <cell r="H148">
            <v>77</v>
          </cell>
          <cell r="J148" t="str">
            <v>Feb 2023</v>
          </cell>
        </row>
        <row r="149">
          <cell r="A149" t="str">
            <v>Thailand</v>
          </cell>
          <cell r="C149">
            <v>234.51836645827501</v>
          </cell>
          <cell r="G149">
            <v>9.6792299067567478E-2</v>
          </cell>
          <cell r="H149">
            <v>24</v>
          </cell>
          <cell r="J149">
            <v>45898</v>
          </cell>
        </row>
        <row r="150">
          <cell r="A150" t="str">
            <v>Timor-Leste, Dem. Rep. of</v>
          </cell>
          <cell r="C150">
            <v>0</v>
          </cell>
          <cell r="G150">
            <v>0</v>
          </cell>
          <cell r="H150">
            <v>139</v>
          </cell>
          <cell r="J150">
            <v>45657</v>
          </cell>
        </row>
        <row r="151">
          <cell r="A151" t="str">
            <v>Togo</v>
          </cell>
          <cell r="C151" t="str">
            <v>-</v>
          </cell>
          <cell r="G151" t="str">
            <v>-</v>
          </cell>
          <cell r="H151" t="str">
            <v>-</v>
          </cell>
          <cell r="J151" t="str">
            <v>-</v>
          </cell>
        </row>
        <row r="152">
          <cell r="A152" t="str">
            <v>Trinidad and Tobago</v>
          </cell>
          <cell r="C152">
            <v>1.9589104537961497</v>
          </cell>
          <cell r="G152">
            <v>4.697360064936091E-2</v>
          </cell>
          <cell r="H152">
            <v>100</v>
          </cell>
          <cell r="J152">
            <v>45898</v>
          </cell>
        </row>
        <row r="153">
          <cell r="A153" t="str">
            <v>Tunisia</v>
          </cell>
          <cell r="C153">
            <v>6.8427109576685021</v>
          </cell>
          <cell r="G153">
            <v>7.9092082496146646E-2</v>
          </cell>
          <cell r="H153">
            <v>82</v>
          </cell>
          <cell r="J153">
            <v>45898</v>
          </cell>
        </row>
        <row r="154">
          <cell r="A154" t="str">
            <v>Turkey5)</v>
          </cell>
          <cell r="C154">
            <v>639.01152919189985</v>
          </cell>
          <cell r="G154">
            <v>0.43650102367986782</v>
          </cell>
          <cell r="H154">
            <v>11</v>
          </cell>
          <cell r="J154">
            <v>45898</v>
          </cell>
        </row>
        <row r="155">
          <cell r="A155" t="str">
            <v>Ukraine</v>
          </cell>
          <cell r="C155">
            <v>27.370843830674009</v>
          </cell>
          <cell r="G155">
            <v>6.553941662514437E-2</v>
          </cell>
          <cell r="H155">
            <v>64</v>
          </cell>
          <cell r="J155">
            <v>45898</v>
          </cell>
        </row>
        <row r="156">
          <cell r="A156" t="str">
            <v>United Arab Emirates</v>
          </cell>
          <cell r="C156">
            <v>74.40848206898697</v>
          </cell>
          <cell r="G156">
            <v>3.0565597958813324E-2</v>
          </cell>
          <cell r="H156">
            <v>47</v>
          </cell>
          <cell r="J156">
            <v>45838</v>
          </cell>
        </row>
        <row r="157">
          <cell r="A157" t="str">
            <v>United Kingdom</v>
          </cell>
          <cell r="C157">
            <v>310.28711613946689</v>
          </cell>
          <cell r="G157">
            <v>0.17072094601132651</v>
          </cell>
          <cell r="H157">
            <v>20</v>
          </cell>
          <cell r="J157">
            <v>45898</v>
          </cell>
        </row>
        <row r="158">
          <cell r="A158" t="str">
            <v>United States</v>
          </cell>
          <cell r="C158">
            <v>8133.4616714876684</v>
          </cell>
          <cell r="G158">
            <v>0.78730875634291231</v>
          </cell>
          <cell r="H158">
            <v>1</v>
          </cell>
          <cell r="J158">
            <v>45898</v>
          </cell>
        </row>
        <row r="159">
          <cell r="A159" t="str">
            <v>Uruguay</v>
          </cell>
          <cell r="C159">
            <v>0.10003919007184847</v>
          </cell>
          <cell r="G159">
            <v>6.0758109216070837E-4</v>
          </cell>
          <cell r="H159">
            <v>115</v>
          </cell>
          <cell r="J159">
            <v>45838</v>
          </cell>
        </row>
        <row r="160">
          <cell r="A160" t="str">
            <v>Uzbekistan, Rep. of</v>
          </cell>
          <cell r="C160">
            <v>365.8</v>
          </cell>
          <cell r="G160">
            <v>0.80096947327302048</v>
          </cell>
          <cell r="H160">
            <v>17</v>
          </cell>
          <cell r="J160">
            <v>45898</v>
          </cell>
        </row>
        <row r="161">
          <cell r="A161" t="str">
            <v>Venezuela, Republica Bolivariana de</v>
          </cell>
          <cell r="C161">
            <v>161.22049080899507</v>
          </cell>
          <cell r="G161">
            <v>0.90200778588068276</v>
          </cell>
          <cell r="H161">
            <v>30</v>
          </cell>
          <cell r="J161" t="str">
            <v>Jun 2018</v>
          </cell>
        </row>
        <row r="162">
          <cell r="A162" t="str">
            <v>Yemen, Republic of</v>
          </cell>
          <cell r="C162">
            <v>1.6</v>
          </cell>
          <cell r="G162">
            <v>3.2951811204167243E-2</v>
          </cell>
          <cell r="H162">
            <v>102</v>
          </cell>
          <cell r="J162" t="str">
            <v>Jul 2014</v>
          </cell>
        </row>
        <row r="163">
          <cell r="A163" t="str">
            <v>Zambia</v>
          </cell>
          <cell r="C163">
            <v>0.32658393207054215</v>
          </cell>
          <cell r="G163">
            <v>8.4709314862852093E-3</v>
          </cell>
          <cell r="H163">
            <v>112</v>
          </cell>
          <cell r="J163" t="str">
            <v>Jun 2021</v>
          </cell>
        </row>
        <row r="164">
          <cell r="A164" t="str">
            <v>Zimbabwe</v>
          </cell>
          <cell r="C164">
            <v>3.4762803956331068</v>
          </cell>
          <cell r="G164">
            <v>0.53409872272865477</v>
          </cell>
          <cell r="H164">
            <v>94</v>
          </cell>
          <cell r="J164">
            <v>45838</v>
          </cell>
        </row>
        <row r="165">
          <cell r="A165" t="str">
            <v>BEAC9)</v>
          </cell>
          <cell r="C165">
            <v>4.7460732170072477</v>
          </cell>
          <cell r="G165" t="str">
            <v>1)</v>
          </cell>
          <cell r="H165">
            <v>87</v>
          </cell>
          <cell r="J165">
            <v>45838</v>
          </cell>
        </row>
        <row r="166">
          <cell r="A166" t="str">
            <v>WAEMU3)</v>
          </cell>
          <cell r="C166">
            <v>36.522495816615347</v>
          </cell>
          <cell r="G166">
            <v>0.16351371849547003</v>
          </cell>
          <cell r="H166">
            <v>60</v>
          </cell>
          <cell r="J166">
            <v>45747</v>
          </cell>
        </row>
        <row r="167">
          <cell r="A167" t="str">
            <v>BIS2)</v>
          </cell>
          <cell r="C167">
            <v>102</v>
          </cell>
          <cell r="G167" t="str">
            <v>1)</v>
          </cell>
          <cell r="H167">
            <v>43</v>
          </cell>
          <cell r="J167">
            <v>45382</v>
          </cell>
        </row>
        <row r="168">
          <cell r="A168" t="str">
            <v>ECB</v>
          </cell>
          <cell r="C168">
            <v>506.516127025598</v>
          </cell>
          <cell r="G168">
            <v>0.4762476848944624</v>
          </cell>
          <cell r="H168">
            <v>14</v>
          </cell>
          <cell r="J168">
            <v>45898</v>
          </cell>
        </row>
        <row r="169">
          <cell r="A169" t="str">
            <v>IMF</v>
          </cell>
          <cell r="C169">
            <v>2814.0420826723898</v>
          </cell>
          <cell r="G169" t="str">
            <v>1)</v>
          </cell>
          <cell r="H169">
            <v>3</v>
          </cell>
          <cell r="J169">
            <v>45838</v>
          </cell>
        </row>
        <row r="170">
          <cell r="A170" t="str">
            <v>Azerbaijan, Rep. of8)</v>
          </cell>
          <cell r="C170">
            <v>181.1</v>
          </cell>
          <cell r="G170">
            <v>0.28777375962855101</v>
          </cell>
          <cell r="H170">
            <v>27</v>
          </cell>
          <cell r="J170">
            <v>45838</v>
          </cell>
        </row>
        <row r="171">
          <cell r="J171" t="str">
            <v>-</v>
          </cell>
        </row>
        <row r="172">
          <cell r="A172" t="str">
            <v>Turkey</v>
          </cell>
          <cell r="C172">
            <v>639.01152919189985</v>
          </cell>
          <cell r="G172">
            <v>0.43650102367986782</v>
          </cell>
          <cell r="J172" t="str">
            <v>-</v>
          </cell>
        </row>
        <row r="173">
          <cell r="A173" t="str">
            <v>Euro Area (incl. ECB)</v>
          </cell>
          <cell r="C173">
            <v>10765.046188298966</v>
          </cell>
          <cell r="G173">
            <v>0.67353292689814503</v>
          </cell>
          <cell r="J173">
            <v>45898</v>
          </cell>
        </row>
        <row r="174">
          <cell r="A174" t="str">
            <v>World7)</v>
          </cell>
          <cell r="C174">
            <v>36359.451805542602</v>
          </cell>
          <cell r="G174">
            <v>0.22367395528330403</v>
          </cell>
          <cell r="J174">
            <v>45869</v>
          </cell>
        </row>
        <row r="176">
          <cell r="C176">
            <v>3429.15</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87589-7E94-48FF-8892-2CE4AB17DC4E}">
  <sheetPr codeName="Sheet6"/>
  <dimension ref="A3:O146"/>
  <sheetViews>
    <sheetView showGridLines="0" tabSelected="1" view="pageBreakPreview" topLeftCell="A29" zoomScaleNormal="100" zoomScaleSheetLayoutView="100" workbookViewId="0">
      <selection activeCell="B51" sqref="B51"/>
    </sheetView>
  </sheetViews>
  <sheetFormatPr defaultColWidth="9.140625" defaultRowHeight="12.75" x14ac:dyDescent="0.2"/>
  <cols>
    <col min="1" max="1" width="5.140625" style="1" bestFit="1" customWidth="1"/>
    <col min="2" max="2" width="18.42578125" style="1" customWidth="1"/>
    <col min="3" max="3" width="9.140625" style="1"/>
    <col min="4" max="4" width="11.85546875" style="1" bestFit="1" customWidth="1"/>
    <col min="5" max="5" width="11.85546875" style="1" customWidth="1"/>
    <col min="6" max="6" width="9.140625" style="1"/>
    <col min="7" max="7" width="20.7109375" style="1" customWidth="1"/>
    <col min="8" max="8" width="9.140625" style="1"/>
    <col min="9" max="9" width="10.140625" style="1" customWidth="1"/>
    <col min="10" max="10" width="11.85546875" style="1" customWidth="1"/>
    <col min="11" max="11" width="9.140625" style="1"/>
    <col min="12" max="12" width="11" style="1" bestFit="1" customWidth="1"/>
    <col min="13" max="16384" width="9.140625" style="1"/>
  </cols>
  <sheetData>
    <row r="3" spans="1:15" ht="18" x14ac:dyDescent="0.25">
      <c r="A3" s="33" t="s">
        <v>0</v>
      </c>
      <c r="B3" s="33"/>
      <c r="C3" s="33"/>
      <c r="D3" s="33"/>
      <c r="E3" s="33"/>
      <c r="F3" s="33"/>
      <c r="G3" s="33"/>
      <c r="H3" s="33"/>
      <c r="I3" s="33"/>
      <c r="J3" s="33"/>
    </row>
    <row r="4" spans="1:15" ht="13.5" customHeight="1" x14ac:dyDescent="0.2">
      <c r="A4" s="34" t="str">
        <f ca="1">CONCATENATE("International Financial Statistics, ",TEXT(NOW(),"mmmm yyyy"),"*")</f>
        <v>International Financial Statistics, October 2025*</v>
      </c>
      <c r="B4" s="34"/>
      <c r="C4" s="34"/>
      <c r="D4" s="34"/>
      <c r="E4" s="34"/>
      <c r="F4" s="34"/>
      <c r="G4" s="34"/>
      <c r="H4" s="34"/>
      <c r="I4" s="34"/>
      <c r="J4" s="34"/>
    </row>
    <row r="5" spans="1:15" ht="15" customHeight="1" x14ac:dyDescent="0.2">
      <c r="A5" s="3"/>
      <c r="B5" s="2"/>
      <c r="C5" s="2"/>
      <c r="D5" s="2"/>
      <c r="E5" s="2"/>
      <c r="F5" s="2"/>
      <c r="G5" s="2"/>
      <c r="H5" s="2"/>
      <c r="I5" s="2"/>
      <c r="J5" s="2"/>
    </row>
    <row r="6" spans="1:15" ht="25.5" x14ac:dyDescent="0.2">
      <c r="A6" s="3"/>
      <c r="B6" s="3"/>
      <c r="C6" s="4" t="s">
        <v>1</v>
      </c>
      <c r="D6" s="5" t="s">
        <v>2</v>
      </c>
      <c r="E6" s="5" t="s">
        <v>3</v>
      </c>
      <c r="F6" s="6"/>
      <c r="G6" s="6"/>
      <c r="H6" s="4" t="s">
        <v>1</v>
      </c>
      <c r="I6" s="5" t="s">
        <v>2</v>
      </c>
      <c r="J6" s="5" t="s">
        <v>3</v>
      </c>
      <c r="K6" s="7"/>
    </row>
    <row r="7" spans="1:15" x14ac:dyDescent="0.2">
      <c r="A7" s="1">
        <v>1</v>
      </c>
      <c r="B7" s="1" t="str">
        <f>INDEX([1]Master!$A:$A,MATCH(PDF!$A7,[1]Master!$H:$H,0))</f>
        <v>United States</v>
      </c>
      <c r="C7" s="7">
        <f>INDEX([1]Master!$C:$C,MATCH(PDF!$A7,[1]Master!$H:$H,0))</f>
        <v>8133.4616714876684</v>
      </c>
      <c r="D7" s="8">
        <f>IFERROR(INDEX([1]Master!$G:$G,MATCH(PDF!$A7,[1]Master!$H:$H,0)),"1)")</f>
        <v>0.78730875634291231</v>
      </c>
      <c r="E7" s="9">
        <f>INDEX([1]Master!$J:$J, MATCH(PDF!$B7,[1]Master!$A:$A,0))</f>
        <v>45898</v>
      </c>
      <c r="F7" s="1">
        <v>51</v>
      </c>
      <c r="G7" s="1" t="str">
        <f>INDEX([1]Master!$A:$A,MATCH(PDF!$F7,[1]Master!$H:$H,0))</f>
        <v>Pakistan</v>
      </c>
      <c r="H7" s="7">
        <f>INDEX([1]Master!$C:$C,MATCH(PDF!$F7,[1]Master!$H:$H,0))</f>
        <v>64.753391776305563</v>
      </c>
      <c r="I7" s="8">
        <f>IFERROR(INDEX([1]Master!$G:$G,MATCH(PDF!$F7,[1]Master!$H:$H,0)),"1)")</f>
        <v>0.31318651991817004</v>
      </c>
      <c r="J7" s="9">
        <f>INDEX([1]Master!$J:$J,MATCH(PDF!$G7,[1]Master!$A:$A,0))</f>
        <v>45898</v>
      </c>
      <c r="K7" s="7"/>
    </row>
    <row r="8" spans="1:15" x14ac:dyDescent="0.2">
      <c r="A8" s="1">
        <v>2</v>
      </c>
      <c r="B8" s="1" t="str">
        <f>INDEX([1]Master!$A:$A,MATCH(PDF!$A8,[1]Master!$H:$H,0))</f>
        <v>Germany</v>
      </c>
      <c r="C8" s="7">
        <f>INDEX([1]Master!$C:$C,MATCH(PDF!$A8,[1]Master!$H:$H,0))</f>
        <v>3350.2534913377499</v>
      </c>
      <c r="D8" s="8">
        <f>IFERROR(INDEX([1]Master!$G:$G,MATCH(PDF!$A8,[1]Master!$H:$H,0)),"1)")</f>
        <v>0.78626580226733533</v>
      </c>
      <c r="E8" s="9">
        <f>INDEX([1]Master!$J:$J, MATCH(PDF!$B8,[1]Master!$A:$A,0))</f>
        <v>45898</v>
      </c>
      <c r="F8" s="1">
        <v>52</v>
      </c>
      <c r="G8" s="1" t="str">
        <f>INDEX([1]Master!$A:$A,MATCH(PDF!$F8,[1]Master!$H:$H,0))</f>
        <v>Argentina</v>
      </c>
      <c r="H8" s="7">
        <f>INDEX([1]Master!$C:$C,MATCH(PDF!$F8,[1]Master!$H:$H,0))</f>
        <v>61.73873938602221</v>
      </c>
      <c r="I8" s="8">
        <f>IFERROR(INDEX([1]Master!$G:$G,MATCH(PDF!$F8,[1]Master!$H:$H,0)),"1)")</f>
        <v>0.17003760363045997</v>
      </c>
      <c r="J8" s="9">
        <f>INDEX([1]Master!$J:$J,MATCH(PDF!$G8,[1]Master!$A:$A,0))</f>
        <v>45898</v>
      </c>
      <c r="K8" s="7"/>
    </row>
    <row r="9" spans="1:15" x14ac:dyDescent="0.2">
      <c r="A9" s="1">
        <v>3</v>
      </c>
      <c r="B9" s="1" t="str">
        <f>INDEX([1]Master!$A:$A,MATCH(PDF!$A9,[1]Master!$H:$H,0))</f>
        <v>IMF</v>
      </c>
      <c r="C9" s="7">
        <f>INDEX([1]Master!$C:$C,MATCH(PDF!$A9,[1]Master!$H:$H,0))</f>
        <v>2814.0420826723898</v>
      </c>
      <c r="D9" s="8" t="str">
        <f>IFERROR(INDEX([1]Master!$G:$G,MATCH(PDF!$A9,[1]Master!$H:$H,0)),"1)")</f>
        <v>1)</v>
      </c>
      <c r="E9" s="9">
        <f>INDEX([1]Master!$J:$J, MATCH(PDF!$B9,[1]Master!$A:$A,0))</f>
        <v>45838</v>
      </c>
      <c r="F9" s="1">
        <v>53</v>
      </c>
      <c r="G9" s="1" t="str">
        <f>INDEX([1]Master!$A:$A,MATCH(PDF!$F9,[1]Master!$H:$H,0))</f>
        <v>Cambodia</v>
      </c>
      <c r="H9" s="7">
        <f>INDEX([1]Master!$C:$C,MATCH(PDF!$F9,[1]Master!$H:$H,0))</f>
        <v>54.429179932194955</v>
      </c>
      <c r="I9" s="8">
        <f>IFERROR(INDEX([1]Master!$G:$G,MATCH(PDF!$F9,[1]Master!$H:$H,0)),"1)")</f>
        <v>0.23955736264016431</v>
      </c>
      <c r="J9" s="9">
        <f>INDEX([1]Master!$J:$J,MATCH(PDF!$G9,[1]Master!$A:$A,0))</f>
        <v>45838</v>
      </c>
      <c r="K9" s="7"/>
    </row>
    <row r="10" spans="1:15" x14ac:dyDescent="0.2">
      <c r="A10" s="1">
        <v>4</v>
      </c>
      <c r="B10" s="1" t="str">
        <f>INDEX([1]Master!$A:$A,MATCH(PDF!$A10,[1]Master!$H:$H,0))</f>
        <v>Italy</v>
      </c>
      <c r="C10" s="7">
        <f>INDEX([1]Master!$C:$C,MATCH(PDF!$A10,[1]Master!$H:$H,0))</f>
        <v>2451.8366458275013</v>
      </c>
      <c r="D10" s="8">
        <f>IFERROR(INDEX([1]Master!$G:$G,MATCH(PDF!$A10,[1]Master!$H:$H,0)),"1)")</f>
        <v>0.75362818028805612</v>
      </c>
      <c r="E10" s="9">
        <f>INDEX([1]Master!$J:$J, MATCH(PDF!$B10,[1]Master!$A:$A,0))</f>
        <v>45898</v>
      </c>
      <c r="F10" s="1">
        <v>54</v>
      </c>
      <c r="G10" s="1" t="str">
        <f>INDEX([1]Master!$A:$A,MATCH(PDF!$F10,[1]Master!$H:$H,0))</f>
        <v>Belarus, Rep. of4)</v>
      </c>
      <c r="H10" s="7">
        <f>INDEX([1]Master!$C:$C,MATCH(PDF!$F10,[1]Master!$H:$H,0))</f>
        <v>53.867686852663994</v>
      </c>
      <c r="I10" s="8">
        <f>IFERROR(INDEX([1]Master!$G:$G,MATCH(PDF!$F10,[1]Master!$H:$H,0)),"1)")</f>
        <v>0.47895328124991637</v>
      </c>
      <c r="J10" s="9">
        <f>INDEX([1]Master!$J:$J,MATCH(PDF!$G10,[1]Master!$A:$A,0))</f>
        <v>45898</v>
      </c>
      <c r="K10" s="7"/>
    </row>
    <row r="11" spans="1:15" x14ac:dyDescent="0.2">
      <c r="A11" s="1">
        <v>5</v>
      </c>
      <c r="B11" s="1" t="str">
        <f>INDEX([1]Master!$A:$A,MATCH(PDF!$A11,[1]Master!$H:$H,0))</f>
        <v>France</v>
      </c>
      <c r="C11" s="7">
        <f>INDEX([1]Master!$C:$C,MATCH(PDF!$A11,[1]Master!$H:$H,0))</f>
        <v>2437.0004043420113</v>
      </c>
      <c r="D11" s="8">
        <f>IFERROR(INDEX([1]Master!$G:$G,MATCH(PDF!$A11,[1]Master!$H:$H,0)),"1)")</f>
        <v>0.75857484049713797</v>
      </c>
      <c r="E11" s="9">
        <f>INDEX([1]Master!$J:$J, MATCH(PDF!$B11,[1]Master!$A:$A,0))</f>
        <v>45898</v>
      </c>
      <c r="F11" s="1">
        <v>55</v>
      </c>
      <c r="G11" s="1" t="str">
        <f>INDEX([1]Master!$A:$A,MATCH(PDF!$F11,[1]Master!$H:$H,0))</f>
        <v>Serbia, Rep. of</v>
      </c>
      <c r="H11" s="7">
        <f>INDEX([1]Master!$C:$C,MATCH(PDF!$F11,[1]Master!$H:$H,0))</f>
        <v>51.315303940779451</v>
      </c>
      <c r="I11" s="8">
        <f>IFERROR(INDEX([1]Master!$G:$G,MATCH(PDF!$F11,[1]Master!$H:$H,0)),"1)")</f>
        <v>0.16949296625356633</v>
      </c>
      <c r="J11" s="9">
        <f>INDEX([1]Master!$J:$J,MATCH(PDF!$G11,[1]Master!$A:$A,0))</f>
        <v>45898</v>
      </c>
      <c r="K11" s="7"/>
    </row>
    <row r="12" spans="1:15" x14ac:dyDescent="0.2">
      <c r="A12" s="1">
        <v>6</v>
      </c>
      <c r="B12" s="1" t="str">
        <f>INDEX([1]Master!$A:$A,MATCH(PDF!$A12,[1]Master!$H:$H,0))</f>
        <v>Russian Federation</v>
      </c>
      <c r="C12" s="7">
        <f>INDEX([1]Master!$C:$C,MATCH(PDF!$A12,[1]Master!$H:$H,0))</f>
        <v>2326.5217256072901</v>
      </c>
      <c r="D12" s="8">
        <f>IFERROR(INDEX([1]Master!$G:$G,MATCH(PDF!$A12,[1]Master!$H:$H,0)),"1)")</f>
        <v>0.3798413224050316</v>
      </c>
      <c r="E12" s="9">
        <f>INDEX([1]Master!$J:$J, MATCH(PDF!$B12,[1]Master!$A:$A,0))</f>
        <v>45898</v>
      </c>
      <c r="F12" s="1">
        <v>56</v>
      </c>
      <c r="G12" s="1" t="str">
        <f>INDEX([1]Master!$A:$A,MATCH(PDF!$F12,[1]Master!$H:$H,0))</f>
        <v>Finland</v>
      </c>
      <c r="H12" s="7">
        <f>INDEX([1]Master!$C:$C,MATCH(PDF!$F12,[1]Master!$H:$H,0))</f>
        <v>43.762246897452648</v>
      </c>
      <c r="I12" s="8">
        <f>IFERROR(INDEX([1]Master!$G:$G,MATCH(PDF!$F12,[1]Master!$H:$H,0)),"1)")</f>
        <v>0.233095071341926</v>
      </c>
      <c r="J12" s="9">
        <f>INDEX([1]Master!$J:$J,MATCH(PDF!$G12,[1]Master!$A:$A,0))</f>
        <v>45898</v>
      </c>
      <c r="K12" s="7"/>
    </row>
    <row r="13" spans="1:15" x14ac:dyDescent="0.2">
      <c r="A13" s="1">
        <v>7</v>
      </c>
      <c r="B13" s="1" t="str">
        <f>INDEX([1]Master!$A:$A,MATCH(PDF!$A13,[1]Master!$H:$H,0))</f>
        <v>China, P.R.: Mainland</v>
      </c>
      <c r="C13" s="7">
        <f>INDEX([1]Master!$C:$C,MATCH(PDF!$A13,[1]Master!$H:$H,0))</f>
        <v>2302.2612049391932</v>
      </c>
      <c r="D13" s="8">
        <f>IFERROR(INDEX([1]Master!$G:$G,MATCH(PDF!$A13,[1]Master!$H:$H,0)),"1)")</f>
        <v>6.9668543908813274E-2</v>
      </c>
      <c r="E13" s="9">
        <f>INDEX([1]Master!$J:$J, MATCH(PDF!$B13,[1]Master!$A:$A,0))</f>
        <v>45898</v>
      </c>
      <c r="F13" s="1">
        <v>57</v>
      </c>
      <c r="G13" s="1" t="str">
        <f>INDEX([1]Master!$A:$A,MATCH(PDF!$F13,[1]Master!$H:$H,0))</f>
        <v>Bulgaria</v>
      </c>
      <c r="H13" s="7">
        <f>INDEX([1]Master!$C:$C,MATCH(PDF!$F13,[1]Master!$H:$H,0))</f>
        <v>42.92556996671955</v>
      </c>
      <c r="I13" s="8">
        <f>IFERROR(INDEX([1]Master!$G:$G,MATCH(PDF!$F13,[1]Master!$H:$H,0)),"1)")</f>
        <v>9.4935734384571854E-2</v>
      </c>
      <c r="J13" s="9">
        <f>INDEX([1]Master!$J:$J,MATCH(PDF!$G13,[1]Master!$A:$A,0))</f>
        <v>45898</v>
      </c>
      <c r="K13" s="7"/>
    </row>
    <row r="14" spans="1:15" x14ac:dyDescent="0.2">
      <c r="A14" s="1">
        <v>8</v>
      </c>
      <c r="B14" s="1" t="str">
        <f>INDEX([1]Master!$A:$A,MATCH(PDF!$A14,[1]Master!$H:$H,0))</f>
        <v>Switzerland</v>
      </c>
      <c r="C14" s="7">
        <f>INDEX([1]Master!$C:$C,MATCH(PDF!$A14,[1]Master!$H:$H,0))</f>
        <v>1039.9365494074837</v>
      </c>
      <c r="D14" s="8">
        <f>IFERROR(INDEX([1]Master!$G:$G,MATCH(PDF!$A14,[1]Master!$H:$H,0)),"1)")</f>
        <v>0.11358279110111855</v>
      </c>
      <c r="E14" s="9">
        <f>INDEX([1]Master!$J:$J, MATCH(PDF!$B14,[1]Master!$A:$A,0))</f>
        <v>45869</v>
      </c>
      <c r="F14" s="1">
        <v>58</v>
      </c>
      <c r="G14" s="1" t="str">
        <f>INDEX([1]Master!$A:$A,MATCH(PDF!$F14,[1]Master!$H:$H,0))</f>
        <v>Kyrgyz Rep.</v>
      </c>
      <c r="H14" s="7">
        <f>INDEX([1]Master!$C:$C,MATCH(PDF!$F14,[1]Master!$H:$H,0))</f>
        <v>40.297544897514854</v>
      </c>
      <c r="I14" s="8">
        <f>IFERROR(INDEX([1]Master!$G:$G,MATCH(PDF!$F14,[1]Master!$H:$H,0)),"1)")</f>
        <v>0.66236446458989884</v>
      </c>
      <c r="J14" s="9">
        <f>INDEX([1]Master!$J:$J,MATCH(PDF!$G14,[1]Master!$A:$A,0))</f>
        <v>45869</v>
      </c>
      <c r="K14" s="7"/>
    </row>
    <row r="15" spans="1:15" x14ac:dyDescent="0.2">
      <c r="A15" s="1">
        <v>9</v>
      </c>
      <c r="B15" s="1" t="str">
        <f>INDEX([1]Master!$A:$A,MATCH(PDF!$A15,[1]Master!$H:$H,0))</f>
        <v>India</v>
      </c>
      <c r="C15" s="7">
        <f>INDEX([1]Master!$C:$C,MATCH(PDF!$A15,[1]Master!$H:$H,0))</f>
        <v>879.98</v>
      </c>
      <c r="D15" s="8">
        <f>IFERROR(INDEX([1]Master!$G:$G,MATCH(PDF!$A15,[1]Master!$H:$H,0)),"1)")</f>
        <v>0.1377163545815808</v>
      </c>
      <c r="E15" s="9">
        <f>INDEX([1]Master!$J:$J, MATCH(PDF!$B15,[1]Master!$A:$A,0))</f>
        <v>45898</v>
      </c>
      <c r="F15" s="1">
        <v>59</v>
      </c>
      <c r="G15" s="1" t="str">
        <f>INDEX([1]Master!$A:$A,MATCH(PDF!$F15,[1]Master!$H:$H,0))</f>
        <v>Malaysia</v>
      </c>
      <c r="H15" s="7">
        <f>INDEX([1]Master!$C:$C,MATCH(PDF!$F15,[1]Master!$H:$H,0))</f>
        <v>38.8790395322074</v>
      </c>
      <c r="I15" s="8">
        <f>IFERROR(INDEX([1]Master!$G:$G,MATCH(PDF!$F15,[1]Master!$H:$H,0)),"1)")</f>
        <v>3.4889228429876233E-2</v>
      </c>
      <c r="J15" s="9">
        <f>INDEX([1]Master!$J:$J,MATCH(PDF!$G15,[1]Master!$A:$A,0))</f>
        <v>45898</v>
      </c>
      <c r="K15" s="7"/>
      <c r="M15" s="10"/>
      <c r="N15" s="11"/>
      <c r="O15" s="12"/>
    </row>
    <row r="16" spans="1:15" x14ac:dyDescent="0.2">
      <c r="A16" s="1">
        <v>10</v>
      </c>
      <c r="B16" s="1" t="str">
        <f>INDEX([1]Master!$A:$A,MATCH(PDF!$A16,[1]Master!$H:$H,0))</f>
        <v>Japan</v>
      </c>
      <c r="C16" s="7">
        <f>INDEX([1]Master!$C:$C,MATCH(PDF!$A16,[1]Master!$H:$H,0))</f>
        <v>845.97309041709434</v>
      </c>
      <c r="D16" s="8">
        <f>IFERROR(INDEX([1]Master!$G:$G,MATCH(PDF!$A16,[1]Master!$H:$H,0)),"1)")</f>
        <v>7.0472280671340218E-2</v>
      </c>
      <c r="E16" s="9">
        <f>INDEX([1]Master!$J:$J, MATCH(PDF!$B16,[1]Master!$A:$A,0))</f>
        <v>45898</v>
      </c>
      <c r="F16" s="1">
        <v>60</v>
      </c>
      <c r="G16" s="1" t="str">
        <f>INDEX([1]Master!$A:$A,MATCH(PDF!$F16,[1]Master!$H:$H,0))</f>
        <v>WAEMU3)</v>
      </c>
      <c r="H16" s="7">
        <f>INDEX([1]Master!$C:$C,MATCH(PDF!$F16,[1]Master!$H:$H,0))</f>
        <v>36.522495816615347</v>
      </c>
      <c r="I16" s="8">
        <f>IFERROR(INDEX([1]Master!$G:$G,MATCH(PDF!$F16,[1]Master!$H:$H,0)),"1)")</f>
        <v>0.16351371849547003</v>
      </c>
      <c r="J16" s="9">
        <f>INDEX([1]Master!$J:$J,MATCH(PDF!$G16,[1]Master!$A:$A,0))</f>
        <v>45747</v>
      </c>
      <c r="K16" s="7"/>
    </row>
    <row r="17" spans="1:11" x14ac:dyDescent="0.2">
      <c r="A17" s="1">
        <v>11</v>
      </c>
      <c r="B17" s="1" t="str">
        <f>INDEX([1]Master!$A:$A,MATCH(PDF!$A17,[1]Master!$H:$H,0))</f>
        <v>Turkey5)</v>
      </c>
      <c r="C17" s="7">
        <f>INDEX([1]Master!$C:$C,MATCH(PDF!$A17,[1]Master!$H:$H,0))</f>
        <v>639.01152919189985</v>
      </c>
      <c r="D17" s="8">
        <f>IFERROR(INDEX([1]Master!$G:$G,MATCH(PDF!$A17,[1]Master!$H:$H,0)),"1)")</f>
        <v>0.43650102367986782</v>
      </c>
      <c r="E17" s="9">
        <f>INDEX([1]Master!$J:$J, MATCH(PDF!$B17,[1]Master!$A:$A,0))</f>
        <v>45898</v>
      </c>
      <c r="F17" s="1">
        <v>61</v>
      </c>
      <c r="G17" s="1" t="str">
        <f>INDEX([1]Master!$A:$A,MATCH(PDF!$F17,[1]Master!$H:$H,0))</f>
        <v>Ghana</v>
      </c>
      <c r="H17" s="7">
        <f>INDEX([1]Master!$C:$C,MATCH(PDF!$F17,[1]Master!$H:$H,0))</f>
        <v>36.020000000000003</v>
      </c>
      <c r="I17" s="8">
        <f>IFERROR(INDEX([1]Master!$G:$G,MATCH(PDF!$F17,[1]Master!$H:$H,0)),"1)")</f>
        <v>0.52929309092634969</v>
      </c>
      <c r="J17" s="9" t="str">
        <f>INDEX([1]Master!$J:$J,MATCH(PDF!$G17,[1]Master!$A:$A,0))</f>
        <v>Apr 2025</v>
      </c>
      <c r="K17" s="7"/>
    </row>
    <row r="18" spans="1:11" x14ac:dyDescent="0.2">
      <c r="A18" s="1">
        <v>12</v>
      </c>
      <c r="B18" s="1" t="str">
        <f>INDEX([1]Master!$A:$A,MATCH(PDF!$A18,[1]Master!$H:$H,0))</f>
        <v>Netherlands, The</v>
      </c>
      <c r="C18" s="7">
        <f>INDEX([1]Master!$C:$C,MATCH(PDF!$A18,[1]Master!$H:$H,0))</f>
        <v>612.45373394295666</v>
      </c>
      <c r="D18" s="8">
        <f>IFERROR(INDEX([1]Master!$G:$G,MATCH(PDF!$A18,[1]Master!$H:$H,0)),"1)")</f>
        <v>0.69139336116407168</v>
      </c>
      <c r="E18" s="9">
        <f>INDEX([1]Master!$J:$J, MATCH(PDF!$B18,[1]Master!$A:$A,0))</f>
        <v>45898</v>
      </c>
      <c r="F18" s="1">
        <v>62</v>
      </c>
      <c r="G18" s="1" t="str">
        <f>INDEX([1]Master!$A:$A,MATCH(PDF!$F18,[1]Master!$H:$H,0))</f>
        <v>Peru</v>
      </c>
      <c r="H18" s="7">
        <f>INDEX([1]Master!$C:$C,MATCH(PDF!$F18,[1]Master!$H:$H,0))</f>
        <v>34.670156760287391</v>
      </c>
      <c r="I18" s="8">
        <f>IFERROR(INDEX([1]Master!$G:$G,MATCH(PDF!$F18,[1]Master!$H:$H,0)),"1)")</f>
        <v>4.6284133110265614E-2</v>
      </c>
      <c r="J18" s="9" t="str">
        <f>INDEX([1]Master!$J:$J,MATCH(PDF!$G18,[1]Master!$A:$A,0))</f>
        <v>Jul 2021</v>
      </c>
      <c r="K18" s="7"/>
    </row>
    <row r="19" spans="1:11" x14ac:dyDescent="0.2">
      <c r="A19" s="1">
        <v>13</v>
      </c>
      <c r="B19" s="1" t="str">
        <f>INDEX([1]Master!$A:$A,MATCH(PDF!$A19,[1]Master!$H:$H,0))</f>
        <v>Poland, Rep. of</v>
      </c>
      <c r="C19" s="7">
        <f>INDEX([1]Master!$C:$C,MATCH(PDF!$A19,[1]Master!$H:$H,0))</f>
        <v>515.32831513794292</v>
      </c>
      <c r="D19" s="8">
        <f>IFERROR(INDEX([1]Master!$G:$G,MATCH(PDF!$A19,[1]Master!$H:$H,0)),"1)")</f>
        <v>0.21750191021206444</v>
      </c>
      <c r="E19" s="9">
        <f>INDEX([1]Master!$J:$J, MATCH(PDF!$B19,[1]Master!$A:$A,0))</f>
        <v>45898</v>
      </c>
      <c r="F19" s="1">
        <v>63</v>
      </c>
      <c r="G19" s="1" t="str">
        <f>INDEX([1]Master!$A:$A,MATCH(PDF!$F19,[1]Master!$H:$H,0))</f>
        <v>Slovak Rep.</v>
      </c>
      <c r="H19" s="7">
        <f>INDEX([1]Master!$C:$C,MATCH(PDF!$F19,[1]Master!$H:$H,0))</f>
        <v>31.694193026655469</v>
      </c>
      <c r="I19" s="8">
        <f>IFERROR(INDEX([1]Master!$G:$G,MATCH(PDF!$F19,[1]Master!$H:$H,0)),"1)")</f>
        <v>0.20315584687839472</v>
      </c>
      <c r="J19" s="9">
        <f>INDEX([1]Master!$J:$J,MATCH(PDF!$G19,[1]Master!$A:$A,0))</f>
        <v>45898</v>
      </c>
      <c r="K19" s="7"/>
    </row>
    <row r="20" spans="1:11" x14ac:dyDescent="0.2">
      <c r="A20" s="1">
        <v>14</v>
      </c>
      <c r="B20" s="1" t="str">
        <f>INDEX([1]Master!$A:$A,MATCH(PDF!$A20,[1]Master!$H:$H,0))</f>
        <v>ECB</v>
      </c>
      <c r="C20" s="7">
        <f>INDEX([1]Master!$C:$C,MATCH(PDF!$A20,[1]Master!$H:$H,0))</f>
        <v>506.516127025598</v>
      </c>
      <c r="D20" s="8">
        <f>IFERROR(INDEX([1]Master!$G:$G,MATCH(PDF!$A20,[1]Master!$H:$H,0)),"1)")</f>
        <v>0.4762476848944624</v>
      </c>
      <c r="E20" s="9">
        <f>INDEX([1]Master!$J:$J, MATCH(PDF!$B20,[1]Master!$A:$A,0))</f>
        <v>45898</v>
      </c>
      <c r="F20" s="1">
        <v>64</v>
      </c>
      <c r="G20" s="1" t="str">
        <f>INDEX([1]Master!$A:$A,MATCH(PDF!$F20,[1]Master!$H:$H,0))</f>
        <v>Ukraine</v>
      </c>
      <c r="H20" s="7">
        <f>INDEX([1]Master!$C:$C,MATCH(PDF!$F20,[1]Master!$H:$H,0))</f>
        <v>27.370843830674009</v>
      </c>
      <c r="I20" s="8">
        <f>IFERROR(INDEX([1]Master!$G:$G,MATCH(PDF!$F20,[1]Master!$H:$H,0)),"1)")</f>
        <v>6.553941662514437E-2</v>
      </c>
      <c r="J20" s="9">
        <f>INDEX([1]Master!$J:$J,MATCH(PDF!$G20,[1]Master!$A:$A,0))</f>
        <v>45898</v>
      </c>
      <c r="K20" s="7"/>
    </row>
    <row r="21" spans="1:11" x14ac:dyDescent="0.2">
      <c r="A21" s="1">
        <v>15</v>
      </c>
      <c r="B21" s="1" t="str">
        <f>INDEX([1]Master!$A:$A,MATCH(PDF!$A21,[1]Master!$H:$H,0))</f>
        <v>Taiwan Province of China</v>
      </c>
      <c r="C21" s="7">
        <f>INDEX([1]Master!$C:$C,MATCH(PDF!$A21,[1]Master!$H:$H,0))</f>
        <v>423.93704705918947</v>
      </c>
      <c r="D21" s="8">
        <f>IFERROR(INDEX([1]Master!$G:$G,MATCH(PDF!$A21,[1]Master!$H:$H,0)),"1)")</f>
        <v>7.3065876781584979E-2</v>
      </c>
      <c r="E21" s="9">
        <f>INDEX([1]Master!$J:$J, MATCH(PDF!$B21,[1]Master!$A:$A,0))</f>
        <v>45808</v>
      </c>
      <c r="F21" s="1">
        <v>65</v>
      </c>
      <c r="G21" s="1" t="str">
        <f>INDEX([1]Master!$A:$A,MATCH(PDF!$F21,[1]Master!$H:$H,0))</f>
        <v>Ecuador</v>
      </c>
      <c r="H21" s="7">
        <f>INDEX([1]Master!$C:$C,MATCH(PDF!$F21,[1]Master!$H:$H,0))</f>
        <v>26.281072812665236</v>
      </c>
      <c r="I21" s="8">
        <f>IFERROR(INDEX([1]Master!$G:$G,MATCH(PDF!$F21,[1]Master!$H:$H,0)),"1)")</f>
        <v>0.33401872161423002</v>
      </c>
      <c r="J21" s="9">
        <f>INDEX([1]Master!$J:$J,MATCH(PDF!$G21,[1]Master!$A:$A,0))</f>
        <v>45869</v>
      </c>
      <c r="K21" s="7"/>
    </row>
    <row r="22" spans="1:11" x14ac:dyDescent="0.2">
      <c r="A22" s="1">
        <v>16</v>
      </c>
      <c r="B22" s="1" t="str">
        <f>INDEX([1]Master!$A:$A,MATCH(PDF!$A22,[1]Master!$H:$H,0))</f>
        <v>Portugal</v>
      </c>
      <c r="C22" s="7">
        <f>INDEX([1]Master!$C:$C,MATCH(PDF!$A22,[1]Master!$H:$H,0))</f>
        <v>382.66305869179814</v>
      </c>
      <c r="D22" s="8">
        <f>IFERROR(INDEX([1]Master!$G:$G,MATCH(PDF!$A22,[1]Master!$H:$H,0)),"1)")</f>
        <v>0.79826168030470701</v>
      </c>
      <c r="E22" s="9">
        <f>INDEX([1]Master!$J:$J, MATCH(PDF!$B22,[1]Master!$A:$A,0))</f>
        <v>45898</v>
      </c>
      <c r="F22" s="1">
        <v>66</v>
      </c>
      <c r="G22" s="1" t="str">
        <f>INDEX([1]Master!$A:$A,MATCH(PDF!$F22,[1]Master!$H:$H,0))</f>
        <v>Syrian Arab Republic</v>
      </c>
      <c r="H22" s="7">
        <f>INDEX([1]Master!$C:$C,MATCH(PDF!$F22,[1]Master!$H:$H,0))</f>
        <v>25.8</v>
      </c>
      <c r="I22" s="8">
        <f>IFERROR(INDEX([1]Master!$G:$G,MATCH(PDF!$F22,[1]Master!$H:$H,0)),"1)")</f>
        <v>0.14577683785167062</v>
      </c>
      <c r="J22" s="9" t="str">
        <f>INDEX([1]Master!$J:$J,MATCH(PDF!$G22,[1]Master!$A:$A,0))</f>
        <v>Jun 2011</v>
      </c>
      <c r="K22" s="7"/>
    </row>
    <row r="23" spans="1:11" x14ac:dyDescent="0.2">
      <c r="A23" s="1">
        <v>17</v>
      </c>
      <c r="B23" s="1" t="str">
        <f>INDEX([1]Master!$A:$A,MATCH(PDF!$A23,[1]Master!$H:$H,0))</f>
        <v>Uzbekistan, Rep. of</v>
      </c>
      <c r="C23" s="7">
        <f>INDEX([1]Master!$C:$C,MATCH(PDF!$A23,[1]Master!$H:$H,0))</f>
        <v>365.8</v>
      </c>
      <c r="D23" s="8">
        <f>IFERROR(INDEX([1]Master!$G:$G,MATCH(PDF!$A23,[1]Master!$H:$H,0)),"1)")</f>
        <v>0.80096947327302048</v>
      </c>
      <c r="E23" s="9">
        <f>INDEX([1]Master!$J:$J, MATCH(PDF!$B23,[1]Master!$A:$A,0))</f>
        <v>45898</v>
      </c>
      <c r="F23" s="1">
        <v>67</v>
      </c>
      <c r="G23" s="1" t="str">
        <f>INDEX([1]Master!$A:$A,MATCH(PDF!$F23,[1]Master!$H:$H,0))</f>
        <v>Bolivia</v>
      </c>
      <c r="H23" s="7">
        <f>INDEX([1]Master!$C:$C,MATCH(PDF!$F23,[1]Master!$H:$H,0))</f>
        <v>22.499797828994435</v>
      </c>
      <c r="I23" s="8">
        <f>IFERROR(INDEX([1]Master!$G:$G,MATCH(PDF!$F23,[1]Master!$H:$H,0)),"1)")</f>
        <v>0.91834607945371205</v>
      </c>
      <c r="J23" s="9">
        <f>INDEX([1]Master!$J:$J,MATCH(PDF!$G23,[1]Master!$A:$A,0))</f>
        <v>45777</v>
      </c>
      <c r="K23" s="7"/>
    </row>
    <row r="24" spans="1:11" x14ac:dyDescent="0.2">
      <c r="A24" s="1">
        <v>18</v>
      </c>
      <c r="B24" s="1" t="str">
        <f>INDEX([1]Master!$A:$A,MATCH(PDF!$A24,[1]Master!$H:$H,0))</f>
        <v>Saudi Arabia</v>
      </c>
      <c r="C24" s="7">
        <f>INDEX([1]Master!$C:$C,MATCH(PDF!$A24,[1]Master!$H:$H,0))</f>
        <v>323.06743180616468</v>
      </c>
      <c r="D24" s="8">
        <f>IFERROR(INDEX([1]Master!$G:$G,MATCH(PDF!$A24,[1]Master!$H:$H,0)),"1)")</f>
        <v>7.2076154199896422E-2</v>
      </c>
      <c r="E24" s="9">
        <f>INDEX([1]Master!$J:$J, MATCH(PDF!$B24,[1]Master!$A:$A,0))</f>
        <v>45808</v>
      </c>
      <c r="F24" s="1">
        <v>68</v>
      </c>
      <c r="G24" s="1" t="str">
        <f>INDEX([1]Master!$A:$A,MATCH(PDF!$F24,[1]Master!$H:$H,0))</f>
        <v>Morocco</v>
      </c>
      <c r="H24" s="7">
        <f>INDEX([1]Master!$C:$C,MATCH(PDF!$F24,[1]Master!$H:$H,0))</f>
        <v>22.1153988989456</v>
      </c>
      <c r="I24" s="8">
        <f>IFERROR(INDEX([1]Master!$G:$G,MATCH(PDF!$F24,[1]Master!$H:$H,0)),"1)")</f>
        <v>5.4787558149650938E-2</v>
      </c>
      <c r="J24" s="9">
        <f>INDEX([1]Master!$J:$J,MATCH(PDF!$G24,[1]Master!$A:$A,0))</f>
        <v>45869</v>
      </c>
      <c r="K24" s="7"/>
    </row>
    <row r="25" spans="1:11" x14ac:dyDescent="0.2">
      <c r="A25" s="1">
        <v>19</v>
      </c>
      <c r="B25" s="1" t="str">
        <f>INDEX([1]Master!$A:$A,MATCH(PDF!$A25,[1]Master!$H:$H,0))</f>
        <v>Kazakhstan, Rep. of</v>
      </c>
      <c r="C25" s="7">
        <f>INDEX([1]Master!$C:$C,MATCH(PDF!$A25,[1]Master!$H:$H,0))</f>
        <v>316.46037012845636</v>
      </c>
      <c r="D25" s="8">
        <f>IFERROR(INDEX([1]Master!$G:$G,MATCH(PDF!$A25,[1]Master!$H:$H,0)),"1)")</f>
        <v>0.63718961016396491</v>
      </c>
      <c r="E25" s="9">
        <f>INDEX([1]Master!$J:$J, MATCH(PDF!$B25,[1]Master!$A:$A,0))</f>
        <v>45898</v>
      </c>
      <c r="F25" s="1">
        <v>69</v>
      </c>
      <c r="G25" s="1" t="str">
        <f>INDEX([1]Master!$A:$A,MATCH(PDF!$F25,[1]Master!$H:$H,0))</f>
        <v>Afghanistan, Islamic Rep. of</v>
      </c>
      <c r="H25" s="7">
        <f>INDEX([1]Master!$C:$C,MATCH(PDF!$F25,[1]Master!$H:$H,0))</f>
        <v>21.865850020217103</v>
      </c>
      <c r="I25" s="8">
        <f>IFERROR(INDEX([1]Master!$G:$G,MATCH(PDF!$F25,[1]Master!$H:$H,0)),"1)")</f>
        <v>0.22590380396838497</v>
      </c>
      <c r="J25" s="9" t="str">
        <f>INDEX([1]Master!$J:$J,MATCH(PDF!$G25,[1]Master!$A:$A,0))</f>
        <v>May 2021</v>
      </c>
      <c r="K25" s="7"/>
    </row>
    <row r="26" spans="1:11" x14ac:dyDescent="0.2">
      <c r="A26" s="1">
        <v>20</v>
      </c>
      <c r="B26" s="1" t="str">
        <f>INDEX([1]Master!$A:$A,MATCH(PDF!$A26,[1]Master!$H:$H,0))</f>
        <v>United Kingdom</v>
      </c>
      <c r="C26" s="7">
        <f>INDEX([1]Master!$C:$C,MATCH(PDF!$A26,[1]Master!$H:$H,0))</f>
        <v>310.28711613946689</v>
      </c>
      <c r="D26" s="8">
        <f>IFERROR(INDEX([1]Master!$G:$G,MATCH(PDF!$A26,[1]Master!$H:$H,0)),"1)")</f>
        <v>0.17072094601132651</v>
      </c>
      <c r="E26" s="9">
        <f>INDEX([1]Master!$J:$J, MATCH(PDF!$B26,[1]Master!$A:$A,0))</f>
        <v>45898</v>
      </c>
      <c r="F26" s="1">
        <v>70</v>
      </c>
      <c r="G26" s="1" t="str">
        <f>INDEX([1]Master!$A:$A,MATCH(PDF!$F26,[1]Master!$H:$H,0))</f>
        <v>Nigeria</v>
      </c>
      <c r="H26" s="7">
        <f>INDEX([1]Master!$C:$C,MATCH(PDF!$F26,[1]Master!$H:$H,0))</f>
        <v>21.461229821778481</v>
      </c>
      <c r="I26" s="8">
        <f>IFERROR(INDEX([1]Master!$G:$G,MATCH(PDF!$F26,[1]Master!$H:$H,0)),"1)")</f>
        <v>6.2028207747595203E-2</v>
      </c>
      <c r="J26" s="9" t="str">
        <f>INDEX([1]Master!$J:$J,MATCH(PDF!$G26,[1]Master!$A:$A,0))</f>
        <v>Jan 2018</v>
      </c>
      <c r="K26" s="7"/>
    </row>
    <row r="27" spans="1:11" x14ac:dyDescent="0.2">
      <c r="A27" s="1">
        <v>21</v>
      </c>
      <c r="B27" s="1" t="str">
        <f>INDEX([1]Master!$A:$A,MATCH(PDF!$A27,[1]Master!$H:$H,0))</f>
        <v>Lebanon</v>
      </c>
      <c r="C27" s="7">
        <f>INDEX([1]Master!$C:$C,MATCH(PDF!$A27,[1]Master!$H:$H,0))</f>
        <v>286.83400205281328</v>
      </c>
      <c r="D27" s="8">
        <f>IFERROR(INDEX([1]Master!$G:$G,MATCH(PDF!$A27,[1]Master!$H:$H,0)),"1)")</f>
        <v>0.76299655664918409</v>
      </c>
      <c r="E27" s="9">
        <f>INDEX([1]Master!$J:$J, MATCH(PDF!$B27,[1]Master!$A:$A,0))</f>
        <v>45747</v>
      </c>
      <c r="F27" s="1">
        <v>71</v>
      </c>
      <c r="G27" s="1" t="str">
        <f>INDEX([1]Master!$A:$A,MATCH(PDF!$F27,[1]Master!$H:$H,0))</f>
        <v>Bangladesh</v>
      </c>
      <c r="H27" s="7">
        <f>INDEX([1]Master!$C:$C,MATCH(PDF!$F27,[1]Master!$H:$H,0))</f>
        <v>14.281469316662001</v>
      </c>
      <c r="I27" s="8">
        <f>IFERROR(INDEX([1]Master!$G:$G,MATCH(PDF!$F27,[1]Master!$H:$H,0)),"1)")</f>
        <v>6.0218149826709796E-2</v>
      </c>
      <c r="J27" s="9">
        <f>INDEX([1]Master!$J:$J,MATCH(PDF!$G27,[1]Master!$A:$A,0))</f>
        <v>45898</v>
      </c>
      <c r="K27" s="7"/>
    </row>
    <row r="28" spans="1:11" x14ac:dyDescent="0.2">
      <c r="A28" s="1">
        <v>22</v>
      </c>
      <c r="B28" s="1" t="str">
        <f>INDEX([1]Master!$A:$A,MATCH(PDF!$A28,[1]Master!$H:$H,0))</f>
        <v>Spain</v>
      </c>
      <c r="C28" s="7">
        <f>INDEX([1]Master!$C:$C,MATCH(PDF!$A28,[1]Master!$H:$H,0))</f>
        <v>281.57755590805886</v>
      </c>
      <c r="D28" s="8">
        <f>IFERROR(INDEX([1]Master!$G:$G,MATCH(PDF!$A28,[1]Master!$H:$H,0)),"1)")</f>
        <v>0.26383785219749545</v>
      </c>
      <c r="E28" s="9">
        <f>INDEX([1]Master!$J:$J, MATCH(PDF!$B28,[1]Master!$A:$A,0))</f>
        <v>45898</v>
      </c>
      <c r="F28" s="1">
        <v>72</v>
      </c>
      <c r="G28" s="1" t="str">
        <f>INDEX([1]Master!$A:$A,MATCH(PDF!$F28,[1]Master!$H:$H,0))</f>
        <v>Cyprus</v>
      </c>
      <c r="H28" s="7">
        <f>INDEX([1]Master!$C:$C,MATCH(PDF!$F28,[1]Master!$H:$H,0))</f>
        <v>13.872041305091599</v>
      </c>
      <c r="I28" s="8">
        <f>IFERROR(INDEX([1]Master!$G:$G,MATCH(PDF!$F28,[1]Master!$H:$H,0)),"1)")</f>
        <v>0.60864011408773377</v>
      </c>
      <c r="J28" s="9">
        <f>INDEX([1]Master!$J:$J,MATCH(PDF!$G28,[1]Master!$A:$A,0))</f>
        <v>45898</v>
      </c>
      <c r="K28" s="7"/>
    </row>
    <row r="29" spans="1:11" x14ac:dyDescent="0.2">
      <c r="A29" s="1">
        <v>23</v>
      </c>
      <c r="B29" s="1" t="str">
        <f>INDEX([1]Master!$A:$A,MATCH(PDF!$A29,[1]Master!$H:$H,0))</f>
        <v>Austria</v>
      </c>
      <c r="C29" s="7">
        <f>INDEX([1]Master!$C:$C,MATCH(PDF!$A29,[1]Master!$H:$H,0))</f>
        <v>279.99129109514479</v>
      </c>
      <c r="D29" s="8">
        <f>IFERROR(INDEX([1]Master!$G:$G,MATCH(PDF!$A29,[1]Master!$H:$H,0)),"1)")</f>
        <v>0.69690259324532333</v>
      </c>
      <c r="E29" s="9">
        <f>INDEX([1]Master!$J:$J, MATCH(PDF!$B29,[1]Master!$A:$A,0))</f>
        <v>45898</v>
      </c>
      <c r="F29" s="1">
        <v>73</v>
      </c>
      <c r="G29" s="1" t="str">
        <f>INDEX([1]Master!$A:$A,MATCH(PDF!$F29,[1]Master!$H:$H,0))</f>
        <v>Mauritius</v>
      </c>
      <c r="H29" s="7">
        <f>INDEX([1]Master!$C:$C,MATCH(PDF!$F29,[1]Master!$H:$H,0))</f>
        <v>12.416410065005755</v>
      </c>
      <c r="I29" s="8">
        <f>IFERROR(INDEX([1]Master!$G:$G,MATCH(PDF!$F29,[1]Master!$H:$H,0)),"1)")</f>
        <v>0.14623351539169563</v>
      </c>
      <c r="J29" s="9">
        <f>INDEX([1]Master!$J:$J,MATCH(PDF!$G29,[1]Master!$A:$A,0))</f>
        <v>45898</v>
      </c>
      <c r="K29" s="7"/>
    </row>
    <row r="30" spans="1:11" x14ac:dyDescent="0.2">
      <c r="A30" s="1">
        <v>24</v>
      </c>
      <c r="B30" s="1" t="str">
        <f>INDEX([1]Master!$A:$A,MATCH(PDF!$A30,[1]Master!$H:$H,0))</f>
        <v>Thailand</v>
      </c>
      <c r="C30" s="7">
        <f>INDEX([1]Master!$C:$C,MATCH(PDF!$A30,[1]Master!$H:$H,0))</f>
        <v>234.51836645827501</v>
      </c>
      <c r="D30" s="8">
        <f>IFERROR(INDEX([1]Master!$G:$G,MATCH(PDF!$A30,[1]Master!$H:$H,0)),"1)")</f>
        <v>9.6792299067567478E-2</v>
      </c>
      <c r="E30" s="9">
        <f>INDEX([1]Master!$J:$J, MATCH(PDF!$B30,[1]Master!$A:$A,0))</f>
        <v>45898</v>
      </c>
      <c r="F30" s="1">
        <v>74</v>
      </c>
      <c r="G30" s="1" t="str">
        <f>INDEX([1]Master!$A:$A,MATCH(PDF!$F30,[1]Master!$H:$H,0))</f>
        <v>Ireland</v>
      </c>
      <c r="H30" s="7">
        <f>INDEX([1]Master!$C:$C,MATCH(PDF!$F30,[1]Master!$H:$H,0))</f>
        <v>12.03695063917141</v>
      </c>
      <c r="I30" s="8">
        <f>IFERROR(INDEX([1]Master!$G:$G,MATCH(PDF!$F30,[1]Master!$H:$H,0)),"1)")</f>
        <v>0.10070074957636485</v>
      </c>
      <c r="J30" s="9">
        <f>INDEX([1]Master!$J:$J,MATCH(PDF!$G30,[1]Master!$A:$A,0))</f>
        <v>45898</v>
      </c>
      <c r="K30" s="7"/>
    </row>
    <row r="31" spans="1:11" x14ac:dyDescent="0.2">
      <c r="A31" s="13">
        <v>25</v>
      </c>
      <c r="B31" s="1" t="str">
        <f>INDEX([1]Master!$A:$A,MATCH(PDF!$A31,[1]Master!$H:$H,0))</f>
        <v>Belgium</v>
      </c>
      <c r="C31" s="7">
        <f>INDEX([1]Master!$C:$C,MATCH(PDF!$A31,[1]Master!$H:$H,0))</f>
        <v>227.39572641597462</v>
      </c>
      <c r="D31" s="8">
        <f>IFERROR(INDEX([1]Master!$G:$G,MATCH(PDF!$A31,[1]Master!$H:$H,0)),"1)")</f>
        <v>0.50965667460454878</v>
      </c>
      <c r="E31" s="9">
        <f>INDEX([1]Master!$J:$J, MATCH(PDF!$B31,[1]Master!$A:$A,0))</f>
        <v>45898</v>
      </c>
      <c r="F31" s="1">
        <v>75</v>
      </c>
      <c r="G31" s="1" t="str">
        <f>INDEX([1]Master!$A:$A,MATCH(PDF!$F31,[1]Master!$H:$H,0))</f>
        <v>Curaçao and Sint Maarten</v>
      </c>
      <c r="H31" s="7">
        <f>INDEX([1]Master!$C:$C,MATCH(PDF!$F31,[1]Master!$H:$H,0))</f>
        <v>9.1754533296009448</v>
      </c>
      <c r="I31" s="8">
        <f>IFERROR(INDEX([1]Master!$G:$G,MATCH(PDF!$F31,[1]Master!$H:$H,0)),"1)")</f>
        <v>0.3232271807067999</v>
      </c>
      <c r="J31" s="9">
        <f>INDEX([1]Master!$J:$J,MATCH(PDF!$G31,[1]Master!$A:$A,0))</f>
        <v>45838</v>
      </c>
      <c r="K31" s="7"/>
    </row>
    <row r="32" spans="1:11" x14ac:dyDescent="0.2">
      <c r="A32" s="1">
        <v>26</v>
      </c>
      <c r="B32" s="1" t="str">
        <f>INDEX([1]Master!$A:$A,MATCH(PDF!$A32,[1]Master!$H:$H,0))</f>
        <v>Singapore</v>
      </c>
      <c r="C32" s="7">
        <f>INDEX([1]Master!$C:$C,MATCH(PDF!$A32,[1]Master!$H:$H,0))</f>
        <v>204.13050915990172</v>
      </c>
      <c r="D32" s="8">
        <f>IFERROR(INDEX([1]Master!$G:$G,MATCH(PDF!$A32,[1]Master!$H:$H,0)),"1)")</f>
        <v>5.5052417419333886E-2</v>
      </c>
      <c r="E32" s="9">
        <f>INDEX([1]Master!$J:$J, MATCH(PDF!$B32,[1]Master!$A:$A,0))</f>
        <v>45898</v>
      </c>
      <c r="F32" s="1">
        <v>76</v>
      </c>
      <c r="G32" s="1" t="str">
        <f>INDEX([1]Master!$A:$A,MATCH(PDF!$F32,[1]Master!$H:$H,0))</f>
        <v>Paraguay</v>
      </c>
      <c r="H32" s="7">
        <f>INDEX([1]Master!$C:$C,MATCH(PDF!$F32,[1]Master!$H:$H,0))</f>
        <v>8.193368791017388</v>
      </c>
      <c r="I32" s="8">
        <f>IFERROR(INDEX([1]Master!$G:$G,MATCH(PDF!$F32,[1]Master!$H:$H,0)),"1)")</f>
        <v>8.812615214435407E-2</v>
      </c>
      <c r="J32" s="9">
        <f>INDEX([1]Master!$J:$J,MATCH(PDF!$G32,[1]Master!$A:$A,0))</f>
        <v>45535</v>
      </c>
      <c r="K32" s="7"/>
    </row>
    <row r="33" spans="1:14" x14ac:dyDescent="0.2">
      <c r="A33" s="1">
        <v>27</v>
      </c>
      <c r="B33" s="1" t="str">
        <f>INDEX([1]Master!$A:$A,MATCH(PDF!$A33,[1]Master!$H:$H,0))</f>
        <v>Azerbaijan, Rep. of8)</v>
      </c>
      <c r="C33" s="7">
        <f>INDEX([1]Master!$C:$C,MATCH(PDF!$A33,[1]Master!$H:$H,0))</f>
        <v>181.1</v>
      </c>
      <c r="D33" s="8">
        <f>IFERROR(INDEX([1]Master!$G:$G,MATCH(PDF!$A33,[1]Master!$H:$H,0)),"1)")</f>
        <v>0.28777375962855101</v>
      </c>
      <c r="E33" s="9">
        <f>INDEX([1]Master!$J:$J, MATCH(PDF!$B33,[1]Master!$A:$A,0))</f>
        <v>45838</v>
      </c>
      <c r="F33" s="1">
        <v>77</v>
      </c>
      <c r="G33" s="1" t="str">
        <f>INDEX([1]Master!$A:$A,MATCH(PDF!$F33,[1]Master!$H:$H,0))</f>
        <v>Tajikistan, Rep. of</v>
      </c>
      <c r="H33" s="7">
        <f>INDEX([1]Master!$C:$C,MATCH(PDF!$F33,[1]Master!$H:$H,0))</f>
        <v>7.4152564461431689</v>
      </c>
      <c r="I33" s="8">
        <f>IFERROR(INDEX([1]Master!$G:$G,MATCH(PDF!$F33,[1]Master!$H:$H,0)),"1)")</f>
        <v>0.17626612334393899</v>
      </c>
      <c r="J33" s="9" t="str">
        <f>INDEX([1]Master!$J:$J,MATCH(PDF!$G33,[1]Master!$A:$A,0))</f>
        <v>Feb 2023</v>
      </c>
      <c r="K33" s="7"/>
    </row>
    <row r="34" spans="1:14" x14ac:dyDescent="0.2">
      <c r="A34" s="1">
        <v>28</v>
      </c>
      <c r="B34" s="1" t="str">
        <f>INDEX([1]Master!$A:$A,MATCH(PDF!$A34,[1]Master!$H:$H,0))</f>
        <v>Algeria</v>
      </c>
      <c r="C34" s="7">
        <f>INDEX([1]Master!$C:$C,MATCH(PDF!$A34,[1]Master!$H:$H,0))</f>
        <v>173.55603247177382</v>
      </c>
      <c r="D34" s="8">
        <f>IFERROR(INDEX([1]Master!$G:$G,MATCH(PDF!$A34,[1]Master!$H:$H,0)),"1)")</f>
        <v>0.24475446883271487</v>
      </c>
      <c r="E34" s="9">
        <f>INDEX([1]Master!$J:$J, MATCH(PDF!$B34,[1]Master!$A:$A,0))</f>
        <v>45869</v>
      </c>
      <c r="F34" s="1">
        <v>78</v>
      </c>
      <c r="G34" s="1" t="str">
        <f>INDEX([1]Master!$A:$A,MATCH(PDF!$F34,[1]Master!$H:$H,0))</f>
        <v>Mongolia</v>
      </c>
      <c r="H34" s="7">
        <f>INDEX([1]Master!$C:$C,MATCH(PDF!$F34,[1]Master!$H:$H,0))</f>
        <v>7.2020562346427797</v>
      </c>
      <c r="I34" s="8">
        <f>IFERROR(INDEX([1]Master!$G:$G,MATCH(PDF!$F34,[1]Master!$H:$H,0)),"1)")</f>
        <v>0.1396506423167537</v>
      </c>
      <c r="J34" s="9">
        <f>INDEX([1]Master!$J:$J,MATCH(PDF!$G34,[1]Master!$A:$A,0))</f>
        <v>45898</v>
      </c>
      <c r="K34" s="7"/>
    </row>
    <row r="35" spans="1:14" x14ac:dyDescent="0.2">
      <c r="A35" s="1">
        <v>29</v>
      </c>
      <c r="B35" s="1" t="str">
        <f>INDEX([1]Master!$A:$A,MATCH(PDF!$A35,[1]Master!$H:$H,0))</f>
        <v>Iraq</v>
      </c>
      <c r="C35" s="7">
        <f>INDEX([1]Master!$C:$C,MATCH(PDF!$A35,[1]Master!$H:$H,0))</f>
        <v>162.66990140275576</v>
      </c>
      <c r="D35" s="8">
        <f>IFERROR(INDEX([1]Master!$G:$G,MATCH(PDF!$A35,[1]Master!$H:$H,0)),"1)")</f>
        <v>0.17424369345609902</v>
      </c>
      <c r="E35" s="9">
        <f>INDEX([1]Master!$J:$J, MATCH(PDF!$B35,[1]Master!$A:$A,0))</f>
        <v>45688</v>
      </c>
      <c r="F35" s="1">
        <v>79</v>
      </c>
      <c r="G35" s="1" t="str">
        <f>INDEX([1]Master!$A:$A,MATCH(PDF!$F35,[1]Master!$H:$H,0))</f>
        <v>Georgia</v>
      </c>
      <c r="H35" s="7">
        <f>INDEX([1]Master!$C:$C,MATCH(PDF!$F35,[1]Master!$H:$H,0))</f>
        <v>7.1375073870175108</v>
      </c>
      <c r="I35" s="8">
        <f>IFERROR(INDEX([1]Master!$G:$G,MATCH(PDF!$F35,[1]Master!$H:$H,0)),"1)")</f>
        <v>0.15137778992866113</v>
      </c>
      <c r="J35" s="9">
        <f>INDEX([1]Master!$J:$J,MATCH(PDF!$G35,[1]Master!$A:$A,0))</f>
        <v>45898</v>
      </c>
      <c r="K35" s="7"/>
    </row>
    <row r="36" spans="1:14" x14ac:dyDescent="0.2">
      <c r="A36" s="1">
        <v>30</v>
      </c>
      <c r="B36" s="1" t="str">
        <f>INDEX([1]Master!$A:$A,MATCH(PDF!$A36,[1]Master!$H:$H,0))</f>
        <v>Venezuela, Republica Bolivariana de</v>
      </c>
      <c r="C36" s="7">
        <f>INDEX([1]Master!$C:$C,MATCH(PDF!$A36,[1]Master!$H:$H,0))</f>
        <v>161.22049080899507</v>
      </c>
      <c r="D36" s="8">
        <f>IFERROR(INDEX([1]Master!$G:$G,MATCH(PDF!$A36,[1]Master!$H:$H,0)),"1)")</f>
        <v>0.90200778588068276</v>
      </c>
      <c r="E36" s="9" t="str">
        <f>INDEX([1]Master!$J:$J, MATCH(PDF!$B36,[1]Master!$A:$A,0))</f>
        <v>Jun 2018</v>
      </c>
      <c r="F36" s="1">
        <v>80</v>
      </c>
      <c r="G36" s="1" t="str">
        <f>INDEX([1]Master!$A:$A,MATCH(PDF!$F36,[1]Master!$H:$H,0))</f>
        <v>North Macedonia, Republic of</v>
      </c>
      <c r="H36" s="7">
        <f>INDEX([1]Master!$C:$C,MATCH(PDF!$F36,[1]Master!$H:$H,0))</f>
        <v>6.8930065005754102</v>
      </c>
      <c r="I36" s="8">
        <f>IFERROR(INDEX([1]Master!$G:$G,MATCH(PDF!$F36,[1]Master!$H:$H,0)),"1)")</f>
        <v>0.13699089717279184</v>
      </c>
      <c r="J36" s="9">
        <f>INDEX([1]Master!$J:$J,MATCH(PDF!$G36,[1]Master!$A:$A,0))</f>
        <v>45898</v>
      </c>
      <c r="K36" s="7"/>
    </row>
    <row r="37" spans="1:14" x14ac:dyDescent="0.2">
      <c r="A37" s="1">
        <v>31</v>
      </c>
      <c r="B37" s="1" t="str">
        <f>INDEX([1]Master!$A:$A,MATCH(PDF!$A37,[1]Master!$H:$H,0))</f>
        <v>Libya</v>
      </c>
      <c r="C37" s="7">
        <f>INDEX([1]Master!$C:$C,MATCH(PDF!$A37,[1]Master!$H:$H,0))</f>
        <v>146.6517371154863</v>
      </c>
      <c r="D37" s="8">
        <f>IFERROR(INDEX([1]Master!$G:$G,MATCH(PDF!$A37,[1]Master!$H:$H,0)),"1)")</f>
        <v>0.16234890318317913</v>
      </c>
      <c r="E37" s="9">
        <f>INDEX([1]Master!$J:$J, MATCH(PDF!$B37,[1]Master!$A:$A,0))</f>
        <v>45898</v>
      </c>
      <c r="F37" s="1">
        <v>81</v>
      </c>
      <c r="G37" s="1" t="str">
        <f>INDEX([1]Master!$A:$A,MATCH(PDF!$F37,[1]Master!$H:$H,0))</f>
        <v>Guatemala</v>
      </c>
      <c r="H37" s="7">
        <f>INDEX([1]Master!$C:$C,MATCH(PDF!$F37,[1]Master!$H:$H,0))</f>
        <v>6.8924761282697276</v>
      </c>
      <c r="I37" s="8">
        <f>IFERROR(INDEX([1]Master!$G:$G,MATCH(PDF!$F37,[1]Master!$H:$H,0)),"1)")</f>
        <v>2.5321433221310002E-2</v>
      </c>
      <c r="J37" s="9">
        <f>INDEX([1]Master!$J:$J,MATCH(PDF!$G37,[1]Master!$A:$A,0))</f>
        <v>45898</v>
      </c>
      <c r="K37" s="7"/>
    </row>
    <row r="38" spans="1:14" x14ac:dyDescent="0.2">
      <c r="A38" s="1">
        <v>32</v>
      </c>
      <c r="B38" s="1" t="str">
        <f>INDEX([1]Master!$A:$A,MATCH(PDF!$A38,[1]Master!$H:$H,0))</f>
        <v>Philippines</v>
      </c>
      <c r="C38" s="7">
        <f>INDEX([1]Master!$C:$C,MATCH(PDF!$A38,[1]Master!$H:$H,0))</f>
        <v>131.25563746073217</v>
      </c>
      <c r="D38" s="8">
        <f>IFERROR(INDEX([1]Master!$G:$G,MATCH(PDF!$A38,[1]Master!$H:$H,0)),"1)")</f>
        <v>0.13518537030860547</v>
      </c>
      <c r="E38" s="9">
        <f>INDEX([1]Master!$J:$J, MATCH(PDF!$B38,[1]Master!$A:$A,0))</f>
        <v>45898</v>
      </c>
      <c r="F38" s="1">
        <v>82</v>
      </c>
      <c r="G38" s="1" t="str">
        <f>INDEX([1]Master!$A:$A,MATCH(PDF!$F38,[1]Master!$H:$H,0))</f>
        <v>Tunisia</v>
      </c>
      <c r="H38" s="7">
        <f>INDEX([1]Master!$C:$C,MATCH(PDF!$F38,[1]Master!$H:$H,0))</f>
        <v>6.8427109576685021</v>
      </c>
      <c r="I38" s="8">
        <f>IFERROR(INDEX([1]Master!$G:$G,MATCH(PDF!$F38,[1]Master!$H:$H,0)),"1)")</f>
        <v>7.9092082496146646E-2</v>
      </c>
      <c r="J38" s="9">
        <f>INDEX([1]Master!$J:$J,MATCH(PDF!$G38,[1]Master!$A:$A,0))</f>
        <v>45898</v>
      </c>
      <c r="K38" s="7"/>
      <c r="M38" s="14"/>
      <c r="N38" s="15"/>
    </row>
    <row r="39" spans="1:14" x14ac:dyDescent="0.2">
      <c r="A39" s="1">
        <v>33</v>
      </c>
      <c r="B39" s="1" t="str">
        <f>INDEX([1]Master!$A:$A,MATCH(PDF!$A39,[1]Master!$H:$H,0))</f>
        <v>Brazil</v>
      </c>
      <c r="C39" s="7">
        <f>INDEX([1]Master!$C:$C,MATCH(PDF!$A39,[1]Master!$H:$H,0))</f>
        <v>129.65263049360829</v>
      </c>
      <c r="D39" s="8">
        <f>IFERROR(INDEX([1]Master!$G:$G,MATCH(PDF!$A39,[1]Master!$H:$H,0)),"1)")</f>
        <v>4.0787004989959054E-2</v>
      </c>
      <c r="E39" s="9">
        <f>INDEX([1]Master!$J:$J, MATCH(PDF!$B39,[1]Master!$A:$A,0))</f>
        <v>45898</v>
      </c>
      <c r="F39" s="1">
        <v>83</v>
      </c>
      <c r="G39" s="1" t="str">
        <f>INDEX([1]Master!$A:$A,MATCH(PDF!$F39,[1]Master!$H:$H,0))</f>
        <v>Oman</v>
      </c>
      <c r="H39" s="7">
        <f>INDEX([1]Master!$C:$C,MATCH(PDF!$F39,[1]Master!$H:$H,0))</f>
        <v>6.7275978974215418</v>
      </c>
      <c r="I39" s="8">
        <f>IFERROR(INDEX([1]Master!$G:$G,MATCH(PDF!$F39,[1]Master!$H:$H,0)),"1)")</f>
        <v>3.8981474123129058E-2</v>
      </c>
      <c r="J39" s="9">
        <f>INDEX([1]Master!$J:$J,MATCH(PDF!$G39,[1]Master!$A:$A,0))</f>
        <v>45747</v>
      </c>
      <c r="K39" s="7"/>
      <c r="M39" s="7"/>
      <c r="N39" s="15"/>
    </row>
    <row r="40" spans="1:14" x14ac:dyDescent="0.2">
      <c r="A40" s="1">
        <v>34</v>
      </c>
      <c r="B40" s="1" t="str">
        <f>INDEX([1]Master!$A:$A,MATCH(PDF!$A40,[1]Master!$H:$H,0))</f>
        <v>Egypt, Arab Rep. of</v>
      </c>
      <c r="C40" s="7">
        <f>INDEX([1]Master!$C:$C,MATCH(PDF!$A40,[1]Master!$H:$H,0))</f>
        <v>128.59189418680603</v>
      </c>
      <c r="D40" s="8">
        <f>IFERROR(INDEX([1]Master!$G:$G,MATCH(PDF!$A40,[1]Master!$H:$H,0)),"1)")</f>
        <v>0.30201209390931438</v>
      </c>
      <c r="E40" s="9">
        <f>INDEX([1]Master!$J:$J, MATCH(PDF!$B40,[1]Master!$A:$A,0))</f>
        <v>45898</v>
      </c>
      <c r="F40" s="1">
        <v>84</v>
      </c>
      <c r="G40" s="1" t="str">
        <f>INDEX([1]Master!$A:$A,MATCH(PDF!$F40,[1]Master!$H:$H,0))</f>
        <v>Latvia</v>
      </c>
      <c r="H40" s="7">
        <f>INDEX([1]Master!$C:$C,MATCH(PDF!$F40,[1]Master!$H:$H,0))</f>
        <v>6.6560915679139061</v>
      </c>
      <c r="I40" s="8">
        <f>IFERROR(INDEX([1]Master!$G:$G,MATCH(PDF!$F40,[1]Master!$H:$H,0)),"1)")</f>
        <v>0.12564541761953166</v>
      </c>
      <c r="J40" s="9">
        <f>INDEX([1]Master!$J:$J,MATCH(PDF!$G40,[1]Master!$A:$A,0))</f>
        <v>45898</v>
      </c>
      <c r="K40" s="7"/>
      <c r="M40" s="7"/>
      <c r="N40" s="15"/>
    </row>
    <row r="41" spans="1:14" x14ac:dyDescent="0.2">
      <c r="A41" s="1">
        <v>35</v>
      </c>
      <c r="B41" s="1" t="str">
        <f>INDEX([1]Master!$A:$A,MATCH(PDF!$A41,[1]Master!$H:$H,0))</f>
        <v>Sweden</v>
      </c>
      <c r="C41" s="7">
        <f>INDEX([1]Master!$C:$C,MATCH(PDF!$A41,[1]Master!$H:$H,0))</f>
        <v>125.71926223134584</v>
      </c>
      <c r="D41" s="8">
        <f>IFERROR(INDEX([1]Master!$G:$G,MATCH(PDF!$A41,[1]Master!$H:$H,0)),"1)")</f>
        <v>0.19862241320973456</v>
      </c>
      <c r="E41" s="9">
        <f>INDEX([1]Master!$J:$J, MATCH(PDF!$B41,[1]Master!$A:$A,0))</f>
        <v>45898</v>
      </c>
      <c r="F41" s="1">
        <v>85</v>
      </c>
      <c r="G41" s="1" t="str">
        <f>INDEX([1]Master!$A:$A,MATCH(PDF!$F41,[1]Master!$H:$H,0))</f>
        <v>Guinea</v>
      </c>
      <c r="H41" s="7">
        <f>INDEX([1]Master!$C:$C,MATCH(PDF!$F41,[1]Master!$H:$H,0))</f>
        <v>6.2933256197318901</v>
      </c>
      <c r="I41" s="8">
        <f>IFERROR(INDEX([1]Master!$G:$G,MATCH(PDF!$F41,[1]Master!$H:$H,0)),"1)")</f>
        <v>0.47205905622898059</v>
      </c>
      <c r="J41" s="9">
        <f>INDEX([1]Master!$J:$J,MATCH(PDF!$G41,[1]Master!$A:$A,0))</f>
        <v>45626</v>
      </c>
      <c r="K41" s="7"/>
      <c r="N41" s="15"/>
    </row>
    <row r="42" spans="1:14" x14ac:dyDescent="0.2">
      <c r="A42" s="1">
        <v>36</v>
      </c>
      <c r="B42" s="1" t="str">
        <f>INDEX([1]Master!$A:$A,MATCH(PDF!$A42,[1]Master!$H:$H,0))</f>
        <v>South Africa</v>
      </c>
      <c r="C42" s="7">
        <f>INDEX([1]Master!$C:$C,MATCH(PDF!$A42,[1]Master!$H:$H,0))</f>
        <v>125.47043637833971</v>
      </c>
      <c r="D42" s="8">
        <f>IFERROR(INDEX([1]Master!$G:$G,MATCH(PDF!$A42,[1]Master!$H:$H,0)),"1)")</f>
        <v>0.1963164184325428</v>
      </c>
      <c r="E42" s="9">
        <f>INDEX([1]Master!$J:$J, MATCH(PDF!$B42,[1]Master!$A:$A,0))</f>
        <v>45898</v>
      </c>
      <c r="F42" s="1">
        <v>86</v>
      </c>
      <c r="G42" s="1" t="str">
        <f>INDEX([1]Master!$A:$A,MATCH(PDF!$F42,[1]Master!$H:$H,0))</f>
        <v>Lithuania</v>
      </c>
      <c r="H42" s="7">
        <f>INDEX([1]Master!$C:$C,MATCH(PDF!$F42,[1]Master!$H:$H,0))</f>
        <v>5.8163043140182262</v>
      </c>
      <c r="I42" s="8">
        <f>IFERROR(INDEX([1]Master!$G:$G,MATCH(PDF!$F42,[1]Master!$H:$H,0)),"1)")</f>
        <v>9.5326154098066287E-2</v>
      </c>
      <c r="J42" s="9">
        <f>INDEX([1]Master!$J:$J,MATCH(PDF!$G42,[1]Master!$A:$A,0))</f>
        <v>45898</v>
      </c>
      <c r="K42" s="7"/>
      <c r="M42" s="7"/>
      <c r="N42" s="15"/>
    </row>
    <row r="43" spans="1:14" x14ac:dyDescent="0.2">
      <c r="A43" s="1">
        <v>37</v>
      </c>
      <c r="B43" s="1" t="str">
        <f>INDEX([1]Master!$A:$A,MATCH(PDF!$A43,[1]Master!$H:$H,0))</f>
        <v>Mexico</v>
      </c>
      <c r="C43" s="7">
        <f>INDEX([1]Master!$C:$C,MATCH(PDF!$A43,[1]Master!$H:$H,0))</f>
        <v>120.14896329818669</v>
      </c>
      <c r="D43" s="8">
        <f>IFERROR(INDEX([1]Master!$G:$G,MATCH(PDF!$A43,[1]Master!$H:$H,0)),"1)")</f>
        <v>5.3251946834351215E-2</v>
      </c>
      <c r="E43" s="9">
        <f>INDEX([1]Master!$J:$J, MATCH(PDF!$B43,[1]Master!$A:$A,0))</f>
        <v>45898</v>
      </c>
      <c r="F43" s="1">
        <v>87</v>
      </c>
      <c r="G43" s="1" t="str">
        <f>INDEX([1]Master!$A:$A,MATCH(PDF!$F43,[1]Master!$H:$H,0))</f>
        <v>BEAC9)</v>
      </c>
      <c r="H43" s="7">
        <f>INDEX([1]Master!$C:$C,MATCH(PDF!$F43,[1]Master!$H:$H,0))</f>
        <v>4.7460732170072477</v>
      </c>
      <c r="I43" s="8" t="str">
        <f>IFERROR(INDEX([1]Master!$G:$G,MATCH(PDF!$F43,[1]Master!$H:$H,0)),"1)")</f>
        <v>1)</v>
      </c>
      <c r="J43" s="9">
        <f>INDEX([1]Master!$J:$J,MATCH(PDF!$G43,[1]Master!$A:$A,0))</f>
        <v>45838</v>
      </c>
      <c r="K43" s="7"/>
      <c r="M43" s="7"/>
      <c r="N43" s="16"/>
    </row>
    <row r="44" spans="1:14" x14ac:dyDescent="0.2">
      <c r="A44" s="1">
        <v>38</v>
      </c>
      <c r="B44" s="1" t="str">
        <f>INDEX([1]Master!$A:$A,MATCH(PDF!$A44,[1]Master!$H:$H,0))</f>
        <v>Qatar</v>
      </c>
      <c r="C44" s="7">
        <f>INDEX([1]Master!$C:$C,MATCH(PDF!$A44,[1]Master!$H:$H,0))</f>
        <v>115.19622142390594</v>
      </c>
      <c r="D44" s="8">
        <f>IFERROR(INDEX([1]Master!$G:$G,MATCH(PDF!$A44,[1]Master!$H:$H,0)),"1)")</f>
        <v>0.22823618174744323</v>
      </c>
      <c r="E44" s="9">
        <f>INDEX([1]Master!$J:$J, MATCH(PDF!$B44,[1]Master!$A:$A,0))</f>
        <v>45869</v>
      </c>
      <c r="F44" s="1">
        <v>88</v>
      </c>
      <c r="G44" s="1" t="str">
        <f>INDEX([1]Master!$A:$A,MATCH(PDF!$F44,[1]Master!$H:$H,0))</f>
        <v>Colombia</v>
      </c>
      <c r="H44" s="7">
        <f>INDEX([1]Master!$C:$C,MATCH(PDF!$F44,[1]Master!$H:$H,0))</f>
        <v>4.6750246648626792</v>
      </c>
      <c r="I44" s="8">
        <f>IFERROR(INDEX([1]Master!$G:$G,MATCH(PDF!$F44,[1]Master!$H:$H,0)),"1)")</f>
        <v>7.953921957269754E-3</v>
      </c>
      <c r="J44" s="9">
        <f>INDEX([1]Master!$J:$J,MATCH(PDF!$G44,[1]Master!$A:$A,0))</f>
        <v>45898</v>
      </c>
      <c r="K44" s="7"/>
      <c r="M44" s="7"/>
      <c r="N44" s="17"/>
    </row>
    <row r="45" spans="1:14" x14ac:dyDescent="0.2">
      <c r="A45" s="1">
        <v>39</v>
      </c>
      <c r="B45" s="1" t="str">
        <f>INDEX([1]Master!$A:$A,MATCH(PDF!$A45,[1]Master!$H:$H,0))</f>
        <v>Greece</v>
      </c>
      <c r="C45" s="7">
        <f>INDEX([1]Master!$C:$C,MATCH(PDF!$A45,[1]Master!$H:$H,0))</f>
        <v>114.67761500419894</v>
      </c>
      <c r="D45" s="8">
        <f>IFERROR(INDEX([1]Master!$G:$G,MATCH(PDF!$A45,[1]Master!$H:$H,0)),"1)")</f>
        <v>0.62141547311532608</v>
      </c>
      <c r="E45" s="9">
        <f>INDEX([1]Master!$J:$J, MATCH(PDF!$B45,[1]Master!$A:$A,0))</f>
        <v>45898</v>
      </c>
      <c r="F45" s="1">
        <v>89</v>
      </c>
      <c r="G45" s="1" t="str">
        <f>INDEX([1]Master!$A:$A,MATCH(PDF!$F45,[1]Master!$H:$H,0))</f>
        <v>Bahrain, Kingdom of</v>
      </c>
      <c r="H45" s="7">
        <f>INDEX([1]Master!$C:$C,MATCH(PDF!$F45,[1]Master!$H:$H,0))</f>
        <v>4.6654847438648872</v>
      </c>
      <c r="I45" s="8">
        <f>IFERROR(INDEX([1]Master!$G:$G,MATCH(PDF!$F45,[1]Master!$H:$H,0)),"1)")</f>
        <v>9.2142247480977463E-2</v>
      </c>
      <c r="J45" s="9">
        <f>INDEX([1]Master!$J:$J,MATCH(PDF!$G45,[1]Master!$A:$A,0))</f>
        <v>45869</v>
      </c>
      <c r="K45" s="7"/>
      <c r="M45" s="7"/>
      <c r="N45" s="16"/>
    </row>
    <row r="46" spans="1:14" x14ac:dyDescent="0.2">
      <c r="A46" s="1">
        <v>40</v>
      </c>
      <c r="B46" s="1" t="str">
        <f>INDEX([1]Master!$A:$A,MATCH(PDF!$A46,[1]Master!$H:$H,0))</f>
        <v>Hungary</v>
      </c>
      <c r="C46" s="7">
        <f>INDEX([1]Master!$C:$C,MATCH(PDF!$A46,[1]Master!$H:$H,0))</f>
        <v>110.01213026033405</v>
      </c>
      <c r="D46" s="8">
        <f>IFERROR(INDEX([1]Master!$G:$G,MATCH(PDF!$A46,[1]Master!$H:$H,0)),"1)")</f>
        <v>0.21449463410719988</v>
      </c>
      <c r="E46" s="9">
        <f>INDEX([1]Master!$J:$J, MATCH(PDF!$B46,[1]Master!$A:$A,0))</f>
        <v>45898</v>
      </c>
      <c r="F46" s="1">
        <v>90</v>
      </c>
      <c r="G46" s="1" t="str">
        <f>INDEX([1]Master!$A:$A,MATCH(PDF!$F46,[1]Master!$H:$H,0))</f>
        <v>Brunei Darussalam</v>
      </c>
      <c r="H46" s="7">
        <f>INDEX([1]Master!$C:$C,MATCH(PDF!$F46,[1]Master!$H:$H,0))</f>
        <v>4.5545521756710521</v>
      </c>
      <c r="I46" s="8">
        <f>IFERROR(INDEX([1]Master!$G:$G,MATCH(PDF!$F46,[1]Master!$H:$H,0)),"1)")</f>
        <v>0.11074081817426239</v>
      </c>
      <c r="J46" s="9">
        <f>INDEX([1]Master!$J:$J,MATCH(PDF!$G46,[1]Master!$A:$A,0))</f>
        <v>45657</v>
      </c>
      <c r="K46" s="7"/>
    </row>
    <row r="47" spans="1:14" x14ac:dyDescent="0.2">
      <c r="A47" s="1">
        <v>41</v>
      </c>
      <c r="B47" s="1" t="str">
        <f>INDEX([1]Master!$A:$A,MATCH(PDF!$A47,[1]Master!$H:$H,0))</f>
        <v>Korea, Rep. of</v>
      </c>
      <c r="C47" s="7">
        <f>INDEX([1]Master!$C:$C,MATCH(PDF!$A47,[1]Master!$H:$H,0))</f>
        <v>104.44677475039657</v>
      </c>
      <c r="D47" s="8">
        <f>IFERROR(INDEX([1]Master!$G:$G,MATCH(PDF!$A47,[1]Master!$H:$H,0)),"1)")</f>
        <v>2.764585058464852E-2</v>
      </c>
      <c r="E47" s="9">
        <f>INDEX([1]Master!$J:$J, MATCH(PDF!$B47,[1]Master!$A:$A,0))</f>
        <v>45869</v>
      </c>
      <c r="F47" s="1">
        <v>91</v>
      </c>
      <c r="G47" s="1" t="str">
        <f>INDEX([1]Master!$A:$A,MATCH(PDF!$F47,[1]Master!$H:$H,0))</f>
        <v>Slovenia, Rep. of</v>
      </c>
      <c r="H47" s="7">
        <f>INDEX([1]Master!$C:$C,MATCH(PDF!$F47,[1]Master!$H:$H,0))</f>
        <v>4.0123168797238034</v>
      </c>
      <c r="I47" s="8">
        <f>IFERROR(INDEX([1]Master!$G:$G,MATCH(PDF!$F47,[1]Master!$H:$H,0)),"1)")</f>
        <v>0.13271411294135002</v>
      </c>
      <c r="J47" s="9">
        <f>INDEX([1]Master!$J:$J,MATCH(PDF!$G47,[1]Master!$A:$A,0))</f>
        <v>45898</v>
      </c>
      <c r="K47" s="7"/>
    </row>
    <row r="48" spans="1:14" x14ac:dyDescent="0.2">
      <c r="A48" s="1">
        <v>42</v>
      </c>
      <c r="B48" s="1" t="str">
        <f>INDEX([1]Master!$A:$A,MATCH(PDF!$A48,[1]Master!$H:$H,0))</f>
        <v>Romania</v>
      </c>
      <c r="C48" s="7">
        <f>INDEX([1]Master!$C:$C,MATCH(PDF!$A48,[1]Master!$H:$H,0))</f>
        <v>103.62663680756431</v>
      </c>
      <c r="D48" s="8">
        <f>IFERROR(INDEX([1]Master!$G:$G,MATCH(PDF!$A48,[1]Master!$H:$H,0)),"1)")</f>
        <v>0.13057425328794181</v>
      </c>
      <c r="E48" s="9">
        <f>INDEX([1]Master!$J:$J, MATCH(PDF!$B48,[1]Master!$A:$A,0))</f>
        <v>45898</v>
      </c>
      <c r="F48" s="1">
        <v>92</v>
      </c>
      <c r="G48" s="1" t="str">
        <f>INDEX([1]Master!$A:$A,MATCH(PDF!$F48,[1]Master!$H:$H,0))</f>
        <v>Mozambique, Rep. of</v>
      </c>
      <c r="H48" s="7">
        <f>INDEX([1]Master!$C:$C,MATCH(PDF!$F48,[1]Master!$H:$H,0))</f>
        <v>3.9368848558365213</v>
      </c>
      <c r="I48" s="8">
        <f>IFERROR(INDEX([1]Master!$G:$G,MATCH(PDF!$F48,[1]Master!$H:$H,0)),"1)")</f>
        <v>0.10544298596392215</v>
      </c>
      <c r="J48" s="9">
        <f>INDEX([1]Master!$J:$J,MATCH(PDF!$G48,[1]Master!$A:$A,0))</f>
        <v>45869</v>
      </c>
      <c r="K48" s="7"/>
    </row>
    <row r="49" spans="1:12" x14ac:dyDescent="0.2">
      <c r="A49" s="1">
        <v>43</v>
      </c>
      <c r="B49" s="1" t="str">
        <f>INDEX([1]Master!$A:$A,MATCH(PDF!$A49,[1]Master!$H:$H,0))</f>
        <v>BIS2)</v>
      </c>
      <c r="C49" s="7">
        <f>INDEX([1]Master!$C:$C,MATCH(PDF!$A49,[1]Master!$H:$H,0))</f>
        <v>102</v>
      </c>
      <c r="D49" s="8" t="str">
        <f>IFERROR(INDEX([1]Master!$G:$G,MATCH(PDF!$A49,[1]Master!$H:$H,0)),"1)")</f>
        <v>1)</v>
      </c>
      <c r="E49" s="9">
        <f>INDEX([1]Master!$J:$J, MATCH(PDF!$B49,[1]Master!$A:$A,0))</f>
        <v>45382</v>
      </c>
      <c r="F49" s="1">
        <v>93</v>
      </c>
      <c r="G49" s="1" t="str">
        <f>INDEX([1]Master!$A:$A,MATCH(PDF!$F49,[1]Master!$H:$H,0))</f>
        <v>Bosnia and Herzegovina</v>
      </c>
      <c r="H49" s="7">
        <f>INDEX([1]Master!$C:$C,MATCH(PDF!$F49,[1]Master!$H:$H,0))</f>
        <v>3.4835619420857831</v>
      </c>
      <c r="I49" s="8">
        <f>IFERROR(INDEX([1]Master!$G:$G,MATCH(PDF!$F49,[1]Master!$H:$H,0)),"1)")</f>
        <v>4.0990624768178899E-2</v>
      </c>
      <c r="J49" s="9">
        <f>INDEX([1]Master!$J:$J,MATCH(PDF!$G49,[1]Master!$A:$A,0))</f>
        <v>45747</v>
      </c>
      <c r="K49" s="7"/>
      <c r="L49" s="18"/>
    </row>
    <row r="50" spans="1:12" x14ac:dyDescent="0.2">
      <c r="A50" s="1">
        <v>44</v>
      </c>
      <c r="B50" s="1" t="str">
        <f>INDEX([1]Master!$A:$A,MATCH(PDF!$A50,[1]Master!$H:$H,0))</f>
        <v>Indonesia</v>
      </c>
      <c r="C50" s="7">
        <f>INDEX([1]Master!$C:$C,MATCH(PDF!$A50,[1]Master!$H:$H,0))</f>
        <v>80.401853752604893</v>
      </c>
      <c r="D50" s="8">
        <f>IFERROR(INDEX([1]Master!$G:$G,MATCH(PDF!$A50,[1]Master!$H:$H,0)),"1)")</f>
        <v>5.8800224553658666E-2</v>
      </c>
      <c r="E50" s="9">
        <f>INDEX([1]Master!$J:$J, MATCH(PDF!$B50,[1]Master!$A:$A,0))</f>
        <v>45898</v>
      </c>
      <c r="F50" s="1">
        <v>94</v>
      </c>
      <c r="G50" s="1" t="str">
        <f>INDEX([1]Master!$A:$A,MATCH(PDF!$F50,[1]Master!$H:$H,0))</f>
        <v>Zimbabwe</v>
      </c>
      <c r="H50" s="7">
        <f>INDEX([1]Master!$C:$C,MATCH(PDF!$F50,[1]Master!$H:$H,0))</f>
        <v>3.4762803956331068</v>
      </c>
      <c r="I50" s="8">
        <f>IFERROR(INDEX([1]Master!$G:$G,MATCH(PDF!$F50,[1]Master!$H:$H,0)),"1)")</f>
        <v>0.53409872272865477</v>
      </c>
      <c r="J50" s="9">
        <f>INDEX([1]Master!$J:$J,MATCH(PDF!$G50,[1]Master!$A:$A,0))</f>
        <v>45838</v>
      </c>
      <c r="K50" s="7"/>
      <c r="L50" s="18"/>
    </row>
    <row r="51" spans="1:12" x14ac:dyDescent="0.2">
      <c r="A51" s="1">
        <v>45</v>
      </c>
      <c r="B51" s="1" t="str">
        <f>INDEX([1]Master!$A:$A,MATCH(PDF!$A51,[1]Master!$H:$H,0))</f>
        <v>Australia</v>
      </c>
      <c r="C51" s="7">
        <f>INDEX([1]Master!$C:$C,MATCH(PDF!$A51,[1]Master!$H:$H,0))</f>
        <v>79.87309881496688</v>
      </c>
      <c r="D51" s="8">
        <f>IFERROR(INDEX([1]Master!$G:$G,MATCH(PDF!$A51,[1]Master!$H:$H,0)),"1)")</f>
        <v>0.1354784405134071</v>
      </c>
      <c r="E51" s="9">
        <f>INDEX([1]Master!$J:$J, MATCH(PDF!$B51,[1]Master!$A:$A,0))</f>
        <v>45898</v>
      </c>
      <c r="F51" s="1">
        <v>95</v>
      </c>
      <c r="G51" s="1" t="str">
        <f>INDEX([1]Master!$A:$A,MATCH(PDF!$F51,[1]Master!$H:$H,0))</f>
        <v>Albania</v>
      </c>
      <c r="H51" s="7">
        <f>INDEX([1]Master!$C:$C,MATCH(PDF!$F51,[1]Master!$H:$H,0))</f>
        <v>3.4213554788342511</v>
      </c>
      <c r="I51" s="8">
        <f>IFERROR(INDEX([1]Master!$G:$G,MATCH(PDF!$F51,[1]Master!$H:$H,0)),"1)")</f>
        <v>4.8989326390015832E-2</v>
      </c>
      <c r="J51" s="9">
        <f>INDEX([1]Master!$J:$J,MATCH(PDF!$G51,[1]Master!$A:$A,0))</f>
        <v>45808</v>
      </c>
      <c r="K51" s="7"/>
    </row>
    <row r="52" spans="1:12" x14ac:dyDescent="0.2">
      <c r="A52" s="1">
        <v>46</v>
      </c>
      <c r="B52" s="1" t="str">
        <f>INDEX([1]Master!$A:$A,MATCH(PDF!$A52,[1]Master!$H:$H,0))</f>
        <v>Kuwait</v>
      </c>
      <c r="C52" s="7">
        <f>INDEX([1]Master!$C:$C,MATCH(PDF!$A52,[1]Master!$H:$H,0))</f>
        <v>78.976319492395263</v>
      </c>
      <c r="D52" s="8">
        <f>IFERROR(INDEX([1]Master!$G:$G,MATCH(PDF!$A52,[1]Master!$H:$H,0)),"1)")</f>
        <v>0.16793239667633478</v>
      </c>
      <c r="E52" s="9">
        <f>INDEX([1]Master!$J:$J, MATCH(PDF!$B52,[1]Master!$A:$A,0))</f>
        <v>45869</v>
      </c>
      <c r="F52" s="1">
        <v>96</v>
      </c>
      <c r="G52" s="1" t="str">
        <f>INDEX([1]Master!$A:$A,MATCH(PDF!$F52,[1]Master!$H:$H,0))</f>
        <v>Aruba, Kingdom of the Netherlands</v>
      </c>
      <c r="H52" s="7">
        <f>INDEX([1]Master!$C:$C,MATCH(PDF!$F52,[1]Master!$H:$H,0))</f>
        <v>3.1103231625765919</v>
      </c>
      <c r="I52" s="8">
        <f>IFERROR(INDEX([1]Master!$G:$G,MATCH(PDF!$F52,[1]Master!$H:$H,0)),"1)")</f>
        <v>0.17260038205982828</v>
      </c>
      <c r="J52" s="9">
        <f>INDEX([1]Master!$J:$J,MATCH(PDF!$G52,[1]Master!$A:$A,0))</f>
        <v>45626</v>
      </c>
      <c r="K52" s="7"/>
      <c r="L52" s="18"/>
    </row>
    <row r="53" spans="1:12" x14ac:dyDescent="0.2">
      <c r="A53" s="1">
        <v>47</v>
      </c>
      <c r="B53" s="1" t="str">
        <f>INDEX([1]Master!$A:$A,MATCH(PDF!$A53,[1]Master!$H:$H,0))</f>
        <v>United Arab Emirates</v>
      </c>
      <c r="C53" s="7">
        <f>INDEX([1]Master!$C:$C,MATCH(PDF!$A53,[1]Master!$H:$H,0))</f>
        <v>74.40848206898697</v>
      </c>
      <c r="D53" s="8">
        <f>IFERROR(INDEX([1]Master!$G:$G,MATCH(PDF!$A53,[1]Master!$H:$H,0)),"1)")</f>
        <v>3.0565597958813324E-2</v>
      </c>
      <c r="E53" s="9">
        <f>INDEX([1]Master!$J:$J, MATCH(PDF!$B53,[1]Master!$A:$A,0))</f>
        <v>45838</v>
      </c>
      <c r="F53" s="1">
        <v>97</v>
      </c>
      <c r="G53" s="1" t="str">
        <f>INDEX([1]Master!$A:$A,MATCH(PDF!$F53,[1]Master!$H:$H,0))</f>
        <v>Luxembourg</v>
      </c>
      <c r="H53" s="7">
        <f>INDEX([1]Master!$C:$C,MATCH(PDF!$F53,[1]Master!$H:$H,0))</f>
        <v>2.239432677055146</v>
      </c>
      <c r="I53" s="8">
        <f>IFERROR(INDEX([1]Master!$G:$G,MATCH(PDF!$F53,[1]Master!$H:$H,0)),"1)")</f>
        <v>8.3226108466023949E-2</v>
      </c>
      <c r="J53" s="9">
        <f>INDEX([1]Master!$J:$J,MATCH(PDF!$G53,[1]Master!$A:$A,0))</f>
        <v>45869</v>
      </c>
      <c r="K53" s="7"/>
      <c r="L53" s="18"/>
    </row>
    <row r="54" spans="1:12" x14ac:dyDescent="0.2">
      <c r="A54" s="1">
        <v>48</v>
      </c>
      <c r="B54" s="1" t="str">
        <f>INDEX([1]Master!$A:$A,MATCH(PDF!$A54,[1]Master!$H:$H,0))</f>
        <v>Jordan</v>
      </c>
      <c r="C54" s="7">
        <f>INDEX([1]Master!$C:$C,MATCH(PDF!$A54,[1]Master!$H:$H,0))</f>
        <v>72.537327205996704</v>
      </c>
      <c r="D54" s="8">
        <f>IFERROR(INDEX([1]Master!$G:$G,MATCH(PDF!$A54,[1]Master!$H:$H,0)),"1)")</f>
        <v>0.33732832094842963</v>
      </c>
      <c r="E54" s="9">
        <f>INDEX([1]Master!$J:$J, MATCH(PDF!$B54,[1]Master!$A:$A,0))</f>
        <v>45898</v>
      </c>
      <c r="F54" s="1">
        <v>98</v>
      </c>
      <c r="G54" s="1" t="str">
        <f>INDEX([1]Master!$A:$A,MATCH(PDF!$F54,[1]Master!$H:$H,0))</f>
        <v>Hong Kong SAR</v>
      </c>
      <c r="H54" s="7">
        <f>INDEX([1]Master!$C:$C,MATCH(PDF!$F54,[1]Master!$H:$H,0))</f>
        <v>2.0839165189263165</v>
      </c>
      <c r="I54" s="8">
        <f>IFERROR(INDEX([1]Master!$G:$G,MATCH(PDF!$F54,[1]Master!$H:$H,0)),"1)")</f>
        <v>5.4028182773786066E-4</v>
      </c>
      <c r="J54" s="9">
        <f>INDEX([1]Master!$J:$J,MATCH(PDF!$G54,[1]Master!$A:$A,0))</f>
        <v>45869</v>
      </c>
      <c r="K54" s="7"/>
      <c r="L54" s="18"/>
    </row>
    <row r="55" spans="1:12" x14ac:dyDescent="0.2">
      <c r="A55" s="1">
        <v>49</v>
      </c>
      <c r="B55" s="1" t="str">
        <f>INDEX([1]Master!$A:$A,MATCH(PDF!$A55,[1]Master!$H:$H,0))</f>
        <v>Denmark</v>
      </c>
      <c r="C55" s="7">
        <f>INDEX([1]Master!$C:$C,MATCH(PDF!$A55,[1]Master!$H:$H,0))</f>
        <v>66.548474386488763</v>
      </c>
      <c r="D55" s="8">
        <f>IFERROR(INDEX([1]Master!$G:$G,MATCH(PDF!$A55,[1]Master!$H:$H,0)),"1)")</f>
        <v>5.8152697477910908E-2</v>
      </c>
      <c r="E55" s="9">
        <f>INDEX([1]Master!$J:$J, MATCH(PDF!$B55,[1]Master!$A:$A,0))</f>
        <v>45898</v>
      </c>
      <c r="F55" s="1">
        <v>99</v>
      </c>
      <c r="G55" s="1" t="str">
        <f>INDEX([1]Master!$A:$A,MATCH(PDF!$F55,[1]Master!$H:$H,0))</f>
        <v>Iceland</v>
      </c>
      <c r="H55" s="7">
        <f>INDEX([1]Master!$C:$C,MATCH(PDF!$F55,[1]Master!$H:$H,0))</f>
        <v>1.9843861777238654</v>
      </c>
      <c r="I55" s="8">
        <f>IFERROR(INDEX([1]Master!$G:$G,MATCH(PDF!$F55,[1]Master!$H:$H,0)),"1)")</f>
        <v>2.9684546803491921E-2</v>
      </c>
      <c r="J55" s="9">
        <f>INDEX([1]Master!$J:$J,MATCH(PDF!$G55,[1]Master!$A:$A,0))</f>
        <v>45838</v>
      </c>
      <c r="K55" s="7"/>
      <c r="L55" s="18"/>
    </row>
    <row r="56" spans="1:12" x14ac:dyDescent="0.2">
      <c r="A56" s="1">
        <v>50</v>
      </c>
      <c r="B56" s="1" t="str">
        <f>INDEX([1]Master!$A:$A,MATCH(PDF!$A56,[1]Master!$H:$H,0))</f>
        <v>Czech Rep.</v>
      </c>
      <c r="C56" s="7">
        <f>INDEX([1]Master!$C:$C,MATCH(PDF!$A56,[1]Master!$H:$H,0))</f>
        <v>65.259525364685388</v>
      </c>
      <c r="D56" s="8">
        <f>IFERROR(INDEX([1]Master!$G:$G,MATCH(PDF!$A56,[1]Master!$H:$H,0)),"1)")</f>
        <v>4.3521213018813003E-2</v>
      </c>
      <c r="E56" s="9">
        <f>INDEX([1]Master!$J:$J, MATCH(PDF!$B56,[1]Master!$A:$A,0))</f>
        <v>45898</v>
      </c>
      <c r="F56" s="1">
        <v>100</v>
      </c>
      <c r="G56" s="1" t="str">
        <f>INDEX([1]Master!$A:$A,MATCH(PDF!$F56,[1]Master!$H:$H,0))</f>
        <v>Trinidad and Tobago</v>
      </c>
      <c r="H56" s="7">
        <f>INDEX([1]Master!$C:$C,MATCH(PDF!$F56,[1]Master!$H:$H,0))</f>
        <v>1.9589104537961497</v>
      </c>
      <c r="I56" s="8">
        <f>IFERROR(INDEX([1]Master!$G:$G,MATCH(PDF!$F56,[1]Master!$H:$H,0)),"1)")</f>
        <v>4.697360064936091E-2</v>
      </c>
      <c r="J56" s="9">
        <f>INDEX([1]Master!$J:$J,MATCH(PDF!$G56,[1]Master!$A:$A,0))</f>
        <v>45898</v>
      </c>
      <c r="K56" s="7"/>
      <c r="L56" s="18"/>
    </row>
    <row r="57" spans="1:12" x14ac:dyDescent="0.2">
      <c r="K57" s="19"/>
      <c r="L57" s="18"/>
    </row>
    <row r="58" spans="1:12" x14ac:dyDescent="0.2">
      <c r="C58" s="20"/>
      <c r="D58" s="17"/>
      <c r="E58" s="17"/>
      <c r="G58" s="13"/>
      <c r="H58" s="19"/>
      <c r="I58" s="18"/>
      <c r="J58" s="17"/>
      <c r="K58" s="19"/>
      <c r="L58" s="18"/>
    </row>
    <row r="59" spans="1:12" x14ac:dyDescent="0.2">
      <c r="A59" s="3"/>
      <c r="B59" s="3"/>
      <c r="C59" s="3"/>
      <c r="D59" s="3"/>
      <c r="E59" s="3"/>
      <c r="F59" s="3"/>
      <c r="G59" s="13"/>
      <c r="H59" s="19"/>
      <c r="I59" s="18"/>
      <c r="J59" s="3"/>
      <c r="K59" s="19"/>
      <c r="L59" s="18"/>
    </row>
    <row r="60" spans="1:12" ht="18" x14ac:dyDescent="0.25">
      <c r="A60" s="33" t="s">
        <v>0</v>
      </c>
      <c r="B60" s="33"/>
      <c r="C60" s="33"/>
      <c r="D60" s="33"/>
      <c r="E60" s="33"/>
      <c r="F60" s="33"/>
      <c r="G60" s="33"/>
      <c r="H60" s="33"/>
      <c r="I60" s="33"/>
      <c r="J60" s="33"/>
      <c r="K60" s="19"/>
      <c r="L60" s="18"/>
    </row>
    <row r="61" spans="1:12" ht="15" customHeight="1" x14ac:dyDescent="0.2">
      <c r="A61" s="34" t="str">
        <f ca="1">$A$4</f>
        <v>International Financial Statistics, October 2025*</v>
      </c>
      <c r="B61" s="34"/>
      <c r="C61" s="34"/>
      <c r="D61" s="34"/>
      <c r="E61" s="34"/>
      <c r="F61" s="34"/>
      <c r="G61" s="34"/>
      <c r="H61" s="34"/>
      <c r="I61" s="34"/>
      <c r="J61" s="34"/>
      <c r="K61" s="19"/>
      <c r="L61" s="18"/>
    </row>
    <row r="62" spans="1:12" ht="15" customHeight="1" x14ac:dyDescent="0.2">
      <c r="A62" s="21"/>
      <c r="B62" s="21"/>
      <c r="C62" s="21"/>
      <c r="D62" s="21"/>
      <c r="E62" s="21"/>
      <c r="F62" s="21"/>
      <c r="G62" s="21"/>
      <c r="H62" s="21"/>
      <c r="I62" s="21"/>
      <c r="J62" s="21"/>
      <c r="K62" s="19"/>
      <c r="L62" s="18"/>
    </row>
    <row r="63" spans="1:12" ht="25.5" x14ac:dyDescent="0.2">
      <c r="A63" s="3"/>
      <c r="B63" s="4" t="s">
        <v>4</v>
      </c>
      <c r="C63" s="4" t="s">
        <v>1</v>
      </c>
      <c r="D63" s="5" t="s">
        <v>2</v>
      </c>
      <c r="E63" s="5" t="s">
        <v>5</v>
      </c>
      <c r="F63" s="3"/>
      <c r="G63" s="22"/>
      <c r="H63" s="4"/>
      <c r="I63" s="5"/>
      <c r="J63" s="5"/>
      <c r="K63" s="23"/>
    </row>
    <row r="64" spans="1:12" x14ac:dyDescent="0.2">
      <c r="A64" s="3"/>
      <c r="B64" s="6" t="s">
        <v>7</v>
      </c>
      <c r="C64" s="24">
        <f>[1]Master!$C$174</f>
        <v>36359.451805542602</v>
      </c>
      <c r="D64" s="25">
        <f>[1]Master!$G$174</f>
        <v>0.22367395528330403</v>
      </c>
      <c r="E64" s="9">
        <f>[1]Master!$J$174</f>
        <v>45869</v>
      </c>
      <c r="F64" s="3"/>
      <c r="G64" s="22"/>
      <c r="H64" s="4"/>
      <c r="I64" s="5"/>
      <c r="J64" s="8"/>
      <c r="K64" s="23"/>
    </row>
    <row r="65" spans="1:10" x14ac:dyDescent="0.2">
      <c r="A65" s="3"/>
      <c r="B65" s="1" t="s">
        <v>6</v>
      </c>
      <c r="C65" s="19">
        <f>[1]Master!$C$173</f>
        <v>10765.046188298966</v>
      </c>
      <c r="D65" s="25">
        <f>[1]Master!$G$173</f>
        <v>0.67353292689814503</v>
      </c>
      <c r="E65" s="9">
        <f>[1]Master!$J$173</f>
        <v>45898</v>
      </c>
      <c r="F65" s="3"/>
      <c r="H65" s="19"/>
      <c r="I65" s="15"/>
      <c r="J65" s="8"/>
    </row>
    <row r="66" spans="1:10" x14ac:dyDescent="0.2">
      <c r="A66" s="3"/>
      <c r="B66" s="13"/>
      <c r="C66" s="19"/>
      <c r="D66" s="26"/>
      <c r="E66" s="9"/>
      <c r="F66" s="3"/>
      <c r="G66" s="13"/>
      <c r="H66" s="19"/>
      <c r="I66" s="26"/>
      <c r="J66" s="8"/>
    </row>
    <row r="67" spans="1:10" x14ac:dyDescent="0.2">
      <c r="A67" s="3"/>
      <c r="B67" s="13"/>
      <c r="C67" s="19"/>
      <c r="D67" s="26"/>
      <c r="E67" s="26"/>
      <c r="F67" s="3"/>
      <c r="G67" s="13"/>
      <c r="H67" s="19"/>
      <c r="I67" s="26"/>
      <c r="J67" s="26"/>
    </row>
    <row r="68" spans="1:10" x14ac:dyDescent="0.2">
      <c r="A68" s="3"/>
      <c r="B68" s="13"/>
      <c r="C68" s="19"/>
      <c r="D68" s="26"/>
      <c r="E68" s="26"/>
      <c r="F68" s="3"/>
      <c r="G68" s="13"/>
      <c r="H68" s="19"/>
      <c r="I68" s="26"/>
      <c r="J68" s="26"/>
    </row>
    <row r="69" spans="1:10" x14ac:dyDescent="0.2">
      <c r="A69" s="3"/>
      <c r="B69" s="13"/>
      <c r="C69" s="27"/>
      <c r="D69" s="18"/>
      <c r="E69" s="18"/>
      <c r="F69" s="3"/>
      <c r="G69" s="3"/>
      <c r="H69" s="3"/>
      <c r="I69" s="3"/>
      <c r="J69" s="18"/>
    </row>
    <row r="70" spans="1:10" x14ac:dyDescent="0.2">
      <c r="A70" s="3"/>
      <c r="B70" s="13"/>
      <c r="C70" s="27"/>
      <c r="D70" s="18"/>
      <c r="E70" s="18"/>
      <c r="G70" s="3"/>
      <c r="H70" s="3"/>
      <c r="I70" s="3"/>
      <c r="J70" s="18"/>
    </row>
    <row r="71" spans="1:10" x14ac:dyDescent="0.2">
      <c r="A71" s="3"/>
      <c r="B71" s="13"/>
      <c r="C71" s="27"/>
      <c r="D71" s="18"/>
      <c r="E71" s="18"/>
      <c r="J71" s="18"/>
    </row>
    <row r="72" spans="1:10" x14ac:dyDescent="0.2">
      <c r="A72" s="3"/>
      <c r="B72" s="13"/>
      <c r="C72" s="27"/>
      <c r="D72" s="18"/>
      <c r="E72" s="18"/>
      <c r="J72" s="18"/>
    </row>
    <row r="73" spans="1:10" x14ac:dyDescent="0.2">
      <c r="A73" s="3"/>
      <c r="B73" s="13"/>
      <c r="C73" s="27"/>
      <c r="D73" s="18"/>
      <c r="E73" s="18"/>
      <c r="J73" s="18"/>
    </row>
    <row r="74" spans="1:10" x14ac:dyDescent="0.2">
      <c r="A74" s="3"/>
      <c r="B74" s="13"/>
      <c r="C74" s="27"/>
      <c r="D74" s="18"/>
      <c r="E74" s="18"/>
      <c r="J74" s="18"/>
    </row>
    <row r="75" spans="1:10" x14ac:dyDescent="0.2">
      <c r="A75" s="3"/>
      <c r="B75" s="13"/>
      <c r="C75" s="27"/>
      <c r="D75" s="18"/>
      <c r="E75" s="18"/>
      <c r="J75" s="18"/>
    </row>
    <row r="76" spans="1:10" x14ac:dyDescent="0.2">
      <c r="A76" s="3"/>
      <c r="B76" s="3"/>
      <c r="C76" s="28"/>
      <c r="D76" s="29"/>
      <c r="E76" s="29"/>
      <c r="J76" s="29"/>
    </row>
    <row r="77" spans="1:10" x14ac:dyDescent="0.2">
      <c r="B77" s="3"/>
      <c r="C77" s="28"/>
      <c r="D77" s="29"/>
      <c r="E77" s="29"/>
      <c r="J77" s="29"/>
    </row>
    <row r="78" spans="1:10" x14ac:dyDescent="0.2">
      <c r="A78" s="3"/>
    </row>
    <row r="79" spans="1:10" x14ac:dyDescent="0.2">
      <c r="A79" s="3"/>
    </row>
    <row r="80" spans="1:10" x14ac:dyDescent="0.2">
      <c r="A80" s="3"/>
    </row>
    <row r="81" spans="1:10" x14ac:dyDescent="0.2">
      <c r="A81" s="3"/>
    </row>
    <row r="82" spans="1:10" x14ac:dyDescent="0.2">
      <c r="A82" s="3"/>
    </row>
    <row r="83" spans="1:10" x14ac:dyDescent="0.2">
      <c r="A83" s="3"/>
      <c r="B83" s="3"/>
      <c r="C83" s="24"/>
      <c r="D83" s="15"/>
      <c r="E83" s="15"/>
      <c r="J83" s="15"/>
    </row>
    <row r="84" spans="1:10" x14ac:dyDescent="0.2">
      <c r="A84" s="3"/>
      <c r="B84" s="3"/>
      <c r="C84" s="24"/>
      <c r="D84" s="15"/>
      <c r="E84" s="15"/>
      <c r="J84" s="15"/>
    </row>
    <row r="85" spans="1:10" x14ac:dyDescent="0.2">
      <c r="A85" s="3"/>
      <c r="B85" s="3"/>
      <c r="C85" s="28"/>
      <c r="D85" s="30"/>
      <c r="E85" s="30"/>
      <c r="J85" s="30"/>
    </row>
    <row r="86" spans="1:10" x14ac:dyDescent="0.2">
      <c r="B86" s="3"/>
      <c r="C86" s="28"/>
      <c r="D86" s="30"/>
      <c r="E86" s="30"/>
      <c r="J86" s="30"/>
    </row>
    <row r="102" spans="2:10" x14ac:dyDescent="0.2">
      <c r="B102" s="22"/>
      <c r="C102" s="28"/>
      <c r="D102" s="15"/>
      <c r="E102" s="15"/>
      <c r="J102" s="15"/>
    </row>
    <row r="111" spans="2:10" ht="12.75" customHeight="1" x14ac:dyDescent="0.2">
      <c r="F111" s="31"/>
      <c r="G111" s="31"/>
      <c r="H111" s="31"/>
    </row>
    <row r="112" spans="2:10" x14ac:dyDescent="0.2">
      <c r="B112" s="32"/>
      <c r="C112" s="32"/>
      <c r="D112" s="32"/>
      <c r="E112" s="32"/>
      <c r="F112" s="32"/>
      <c r="G112" s="32"/>
      <c r="H112" s="32"/>
    </row>
    <row r="113" spans="2:8" x14ac:dyDescent="0.2">
      <c r="B113" s="32"/>
      <c r="C113" s="32"/>
      <c r="D113" s="32"/>
      <c r="E113" s="32"/>
      <c r="F113" s="32"/>
      <c r="G113" s="32"/>
      <c r="H113" s="32"/>
    </row>
    <row r="114" spans="2:8" x14ac:dyDescent="0.2">
      <c r="B114" s="32"/>
      <c r="C114" s="32"/>
      <c r="D114" s="32"/>
      <c r="E114" s="32"/>
      <c r="F114" s="32"/>
      <c r="G114" s="32"/>
      <c r="H114" s="32"/>
    </row>
    <row r="115" spans="2:8" x14ac:dyDescent="0.2">
      <c r="B115" s="32"/>
      <c r="C115" s="32"/>
      <c r="D115" s="32"/>
      <c r="E115" s="32"/>
      <c r="F115" s="32"/>
      <c r="G115" s="32"/>
      <c r="H115" s="32"/>
    </row>
    <row r="116" spans="2:8" x14ac:dyDescent="0.2">
      <c r="B116" s="32"/>
      <c r="C116" s="32"/>
      <c r="D116" s="32"/>
      <c r="E116" s="32"/>
      <c r="F116" s="32"/>
      <c r="G116" s="32"/>
      <c r="H116" s="32"/>
    </row>
    <row r="117" spans="2:8" x14ac:dyDescent="0.2">
      <c r="B117" s="32"/>
      <c r="C117" s="32"/>
      <c r="D117" s="32"/>
      <c r="E117" s="32"/>
      <c r="F117" s="32"/>
      <c r="G117" s="32"/>
      <c r="H117" s="32"/>
    </row>
    <row r="118" spans="2:8" x14ac:dyDescent="0.2">
      <c r="B118" s="32"/>
      <c r="C118" s="32"/>
      <c r="D118" s="32"/>
      <c r="E118" s="32"/>
      <c r="F118" s="32"/>
      <c r="G118" s="32"/>
      <c r="H118" s="32"/>
    </row>
    <row r="119" spans="2:8" x14ac:dyDescent="0.2">
      <c r="B119" s="32"/>
      <c r="C119" s="32"/>
      <c r="D119" s="32"/>
      <c r="E119" s="32"/>
      <c r="F119" s="32"/>
      <c r="G119" s="32"/>
      <c r="H119" s="32"/>
    </row>
    <row r="120" spans="2:8" x14ac:dyDescent="0.2">
      <c r="B120" s="32"/>
      <c r="C120" s="32"/>
      <c r="D120" s="32"/>
      <c r="E120" s="32"/>
      <c r="F120" s="32"/>
      <c r="G120" s="32"/>
      <c r="H120" s="32"/>
    </row>
    <row r="121" spans="2:8" x14ac:dyDescent="0.2">
      <c r="B121" s="32"/>
      <c r="C121" s="32"/>
      <c r="D121" s="32"/>
      <c r="E121" s="32"/>
      <c r="F121" s="32"/>
      <c r="G121" s="32"/>
      <c r="H121" s="32"/>
    </row>
    <row r="122" spans="2:8" x14ac:dyDescent="0.2">
      <c r="B122" s="32"/>
      <c r="C122" s="32"/>
      <c r="D122" s="32"/>
      <c r="E122" s="32"/>
      <c r="F122" s="32"/>
      <c r="G122" s="32"/>
      <c r="H122" s="32"/>
    </row>
    <row r="123" spans="2:8" x14ac:dyDescent="0.2">
      <c r="B123" s="32"/>
      <c r="C123" s="32"/>
      <c r="D123" s="32"/>
      <c r="E123" s="32"/>
      <c r="F123" s="32"/>
      <c r="G123" s="32"/>
      <c r="H123" s="32"/>
    </row>
    <row r="124" spans="2:8" x14ac:dyDescent="0.2">
      <c r="B124" s="32"/>
      <c r="C124" s="32"/>
      <c r="D124" s="32"/>
      <c r="E124" s="32"/>
      <c r="F124" s="32"/>
      <c r="G124" s="32"/>
      <c r="H124" s="32"/>
    </row>
    <row r="125" spans="2:8" x14ac:dyDescent="0.2">
      <c r="B125" s="32"/>
      <c r="C125" s="32"/>
      <c r="D125" s="32"/>
      <c r="E125" s="32"/>
      <c r="F125" s="32"/>
      <c r="G125" s="32"/>
      <c r="H125" s="32"/>
    </row>
    <row r="126" spans="2:8" x14ac:dyDescent="0.2">
      <c r="B126" s="32"/>
      <c r="C126" s="32"/>
      <c r="D126" s="32"/>
      <c r="E126" s="32"/>
      <c r="F126" s="32"/>
      <c r="G126" s="32"/>
      <c r="H126" s="32"/>
    </row>
    <row r="127" spans="2:8" x14ac:dyDescent="0.2">
      <c r="B127" s="32"/>
      <c r="C127" s="32"/>
      <c r="D127" s="32"/>
      <c r="E127" s="32"/>
      <c r="F127" s="32"/>
      <c r="G127" s="32"/>
      <c r="H127" s="32"/>
    </row>
    <row r="128" spans="2:8" x14ac:dyDescent="0.2">
      <c r="B128" s="32"/>
      <c r="C128" s="32"/>
      <c r="D128" s="32"/>
      <c r="E128" s="32"/>
      <c r="F128" s="32"/>
      <c r="G128" s="32"/>
      <c r="H128" s="32"/>
    </row>
    <row r="129" spans="2:8" x14ac:dyDescent="0.2">
      <c r="B129" s="32"/>
      <c r="C129" s="32"/>
      <c r="D129" s="32"/>
      <c r="E129" s="32"/>
      <c r="F129" s="32"/>
      <c r="G129" s="32"/>
      <c r="H129" s="32"/>
    </row>
    <row r="130" spans="2:8" x14ac:dyDescent="0.2">
      <c r="B130" s="32"/>
      <c r="C130" s="32"/>
      <c r="D130" s="32"/>
      <c r="E130" s="32"/>
      <c r="F130" s="32"/>
      <c r="G130" s="32"/>
      <c r="H130" s="32"/>
    </row>
    <row r="131" spans="2:8" x14ac:dyDescent="0.2">
      <c r="B131" s="32"/>
      <c r="C131" s="32"/>
      <c r="D131" s="32"/>
      <c r="E131" s="32"/>
      <c r="F131" s="32"/>
      <c r="G131" s="32"/>
      <c r="H131" s="32"/>
    </row>
    <row r="132" spans="2:8" x14ac:dyDescent="0.2">
      <c r="B132" s="32"/>
      <c r="C132" s="32"/>
      <c r="D132" s="32"/>
      <c r="E132" s="32"/>
      <c r="F132" s="32"/>
      <c r="G132" s="32"/>
      <c r="H132" s="32"/>
    </row>
    <row r="133" spans="2:8" x14ac:dyDescent="0.2">
      <c r="B133" s="32"/>
      <c r="C133" s="32"/>
      <c r="D133" s="32"/>
      <c r="E133" s="32"/>
      <c r="F133" s="32"/>
      <c r="G133" s="32"/>
      <c r="H133" s="32"/>
    </row>
    <row r="134" spans="2:8" x14ac:dyDescent="0.2">
      <c r="B134" s="32"/>
      <c r="C134" s="32"/>
      <c r="D134" s="32"/>
      <c r="E134" s="32"/>
      <c r="F134" s="32"/>
      <c r="G134" s="32"/>
      <c r="H134" s="32"/>
    </row>
    <row r="135" spans="2:8" x14ac:dyDescent="0.2">
      <c r="B135" s="32"/>
      <c r="C135" s="32"/>
      <c r="D135" s="32"/>
      <c r="E135" s="32"/>
      <c r="F135" s="32"/>
      <c r="G135" s="32"/>
      <c r="H135" s="32"/>
    </row>
    <row r="136" spans="2:8" x14ac:dyDescent="0.2">
      <c r="B136" s="32"/>
      <c r="C136" s="32"/>
      <c r="D136" s="32"/>
      <c r="E136" s="32"/>
      <c r="F136" s="32"/>
      <c r="G136" s="32"/>
      <c r="H136" s="32"/>
    </row>
    <row r="137" spans="2:8" x14ac:dyDescent="0.2">
      <c r="B137" s="32"/>
      <c r="C137" s="32"/>
      <c r="D137" s="32"/>
      <c r="E137" s="32"/>
      <c r="F137" s="32"/>
      <c r="G137" s="32"/>
      <c r="H137" s="32"/>
    </row>
    <row r="138" spans="2:8" x14ac:dyDescent="0.2">
      <c r="B138" s="32"/>
      <c r="C138" s="32"/>
      <c r="D138" s="32"/>
      <c r="E138" s="32"/>
      <c r="F138" s="32"/>
      <c r="G138" s="32"/>
      <c r="H138" s="32"/>
    </row>
    <row r="139" spans="2:8" x14ac:dyDescent="0.2">
      <c r="B139" s="32"/>
      <c r="C139" s="32"/>
      <c r="D139" s="32"/>
      <c r="E139" s="32"/>
      <c r="F139" s="32"/>
      <c r="G139" s="32"/>
      <c r="H139" s="32"/>
    </row>
    <row r="140" spans="2:8" x14ac:dyDescent="0.2">
      <c r="B140" s="32"/>
      <c r="C140" s="32"/>
      <c r="D140" s="32"/>
      <c r="E140" s="32"/>
      <c r="F140" s="32"/>
      <c r="G140" s="32"/>
      <c r="H140" s="32"/>
    </row>
    <row r="141" spans="2:8" x14ac:dyDescent="0.2">
      <c r="B141" s="32"/>
      <c r="C141" s="32"/>
      <c r="D141" s="32"/>
      <c r="E141" s="32"/>
      <c r="F141" s="32"/>
      <c r="G141" s="32"/>
      <c r="H141" s="32"/>
    </row>
    <row r="142" spans="2:8" x14ac:dyDescent="0.2">
      <c r="B142" s="32"/>
      <c r="C142" s="32"/>
      <c r="D142" s="32"/>
      <c r="E142" s="32"/>
      <c r="F142" s="32"/>
      <c r="G142" s="32"/>
      <c r="H142" s="32"/>
    </row>
    <row r="143" spans="2:8" x14ac:dyDescent="0.2">
      <c r="B143" s="32"/>
      <c r="C143" s="32"/>
      <c r="D143" s="32"/>
      <c r="E143" s="32"/>
      <c r="F143" s="32"/>
      <c r="G143" s="32"/>
      <c r="H143" s="32"/>
    </row>
    <row r="144" spans="2:8" x14ac:dyDescent="0.2">
      <c r="B144" s="32"/>
      <c r="C144" s="32"/>
      <c r="D144" s="32"/>
      <c r="E144" s="32"/>
      <c r="F144" s="32"/>
      <c r="G144" s="32"/>
      <c r="H144" s="32"/>
    </row>
    <row r="145" spans="2:8" x14ac:dyDescent="0.2">
      <c r="B145" s="32"/>
      <c r="C145" s="32"/>
      <c r="D145" s="32"/>
      <c r="E145" s="32"/>
      <c r="F145" s="32"/>
      <c r="G145" s="32"/>
      <c r="H145" s="32"/>
    </row>
    <row r="146" spans="2:8" x14ac:dyDescent="0.2">
      <c r="B146" s="32"/>
      <c r="C146" s="32"/>
      <c r="D146" s="32"/>
      <c r="E146" s="32"/>
      <c r="F146" s="32"/>
      <c r="G146" s="32"/>
      <c r="H146" s="32"/>
    </row>
  </sheetData>
  <mergeCells count="4">
    <mergeCell ref="A3:J3"/>
    <mergeCell ref="A4:J4"/>
    <mergeCell ref="A60:J60"/>
    <mergeCell ref="A61:J61"/>
  </mergeCells>
  <pageMargins left="0.45" right="0.45" top="0.5" bottom="0.5" header="0.3" footer="0.3"/>
  <pageSetup scale="78" fitToHeight="3" orientation="portrait" r:id="rId1"/>
  <headerFooter>
    <oddHeader>&amp;L&amp;G</oddHeader>
  </headerFooter>
  <rowBreaks count="2" manualBreakCount="2">
    <brk id="57" max="9" man="1"/>
    <brk id="118" max="9"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b9952c7ff6dd2a8aeb105d4d71d213ca">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e3966b4c38235f2d460b509fe75978fc"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Props1.xml><?xml version="1.0" encoding="utf-8"?>
<ds:datastoreItem xmlns:ds="http://schemas.openxmlformats.org/officeDocument/2006/customXml" ds:itemID="{A983B052-A69C-4C8B-9717-30F9A8ACAD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F22990-AE54-446B-9825-09AF360DD3EB}">
  <ds:schemaRefs>
    <ds:schemaRef ds:uri="http://schemas.microsoft.com/sharepoint/v3/contenttype/forms"/>
  </ds:schemaRefs>
</ds:datastoreItem>
</file>

<file path=customXml/itemProps3.xml><?xml version="1.0" encoding="utf-8"?>
<ds:datastoreItem xmlns:ds="http://schemas.openxmlformats.org/officeDocument/2006/customXml" ds:itemID="{9B9EF917-BBB2-4375-838E-D25BF038050C}">
  <ds:schemaRefs>
    <ds:schemaRef ds:uri="81ba2d26-7208-4098-b7cd-1db435ad554f"/>
    <ds:schemaRef ds:uri="http://purl.org/dc/elements/1.1/"/>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d6c5908d-f417-492b-af08-ab5b835958da"/>
    <ds:schemaRef ds:uri="http://schemas.microsoft.com/sharepoint/v3"/>
    <ds:schemaRef ds:uri="http://www.w3.org/XML/1998/namespace"/>
    <ds:schemaRef ds:uri="http://purl.org/dc/terms/"/>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PDF</vt:lpstr>
      <vt:lpstr>PDF!all</vt:lpstr>
      <vt:lpstr>PDF!bottom</vt:lpstr>
      <vt:lpstr>PDF!left</vt:lpstr>
      <vt:lpstr>PDF!Print_Area</vt:lpstr>
      <vt:lpstr>PDF!right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Louise Street</cp:lastModifiedBy>
  <dcterms:created xsi:type="dcterms:W3CDTF">2025-10-01T04:56:02Z</dcterms:created>
  <dcterms:modified xsi:type="dcterms:W3CDTF">2025-10-09T09:48:34Z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